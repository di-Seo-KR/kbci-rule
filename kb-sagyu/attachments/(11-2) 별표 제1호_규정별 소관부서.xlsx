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박현민(2025-12-18일 백업)\KB신용정보\4. 2026년\10. 사규\(26-02-20) 사규관리규정 개정\"/>
    </mc:Choice>
  </mc:AlternateContent>
  <bookViews>
    <workbookView xWindow="0" yWindow="0" windowWidth="28800" windowHeight="11730"/>
  </bookViews>
  <sheets>
    <sheet name="사규 목차" sheetId="6" r:id="rId1"/>
  </sheets>
  <definedNames>
    <definedName name="_xlnm._FilterDatabase" localSheetId="0" hidden="1">'사규 목차'!$B$3:$G$3</definedName>
    <definedName name="_xlnm.Print_Area" localSheetId="0">'사규 목차'!$B$1:$H$95</definedName>
    <definedName name="_xlnm.Print_Titles" localSheetId="0">'사규 목차'!$1:$3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6" i="6" l="1"/>
  <c r="B95" i="6" l="1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L46" i="6"/>
  <c r="L66" i="6" l="1"/>
  <c r="L17" i="6"/>
  <c r="L5" i="6" l="1"/>
  <c r="L6" i="6"/>
  <c r="L7" i="6"/>
  <c r="L8" i="6"/>
  <c r="L9" i="6"/>
  <c r="L10" i="6"/>
  <c r="L11" i="6"/>
  <c r="L12" i="6"/>
  <c r="L13" i="6"/>
  <c r="L14" i="6"/>
  <c r="L15" i="6"/>
  <c r="L16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4" i="6"/>
  <c r="B4" i="6" l="1"/>
  <c r="K46" i="6" s="1"/>
  <c r="K27" i="6" l="1"/>
  <c r="K18" i="6"/>
  <c r="K8" i="6"/>
  <c r="K66" i="6"/>
  <c r="K35" i="6"/>
  <c r="K43" i="6"/>
  <c r="K52" i="6"/>
  <c r="K60" i="6"/>
  <c r="K70" i="6"/>
  <c r="K79" i="6"/>
  <c r="K87" i="6"/>
  <c r="K9" i="6"/>
  <c r="K19" i="6"/>
  <c r="K28" i="6"/>
  <c r="K36" i="6"/>
  <c r="K44" i="6"/>
  <c r="K53" i="6"/>
  <c r="K61" i="6"/>
  <c r="K71" i="6"/>
  <c r="K80" i="6"/>
  <c r="K88" i="6"/>
  <c r="K37" i="6"/>
  <c r="K45" i="6"/>
  <c r="K54" i="6"/>
  <c r="K62" i="6"/>
  <c r="K72" i="6"/>
  <c r="K81" i="6"/>
  <c r="K89" i="6"/>
  <c r="K20" i="6"/>
  <c r="K21" i="6"/>
  <c r="K38" i="6"/>
  <c r="K47" i="6"/>
  <c r="K55" i="6"/>
  <c r="K63" i="6"/>
  <c r="K74" i="6"/>
  <c r="K82" i="6"/>
  <c r="K90" i="6"/>
  <c r="K29" i="6"/>
  <c r="K17" i="6"/>
  <c r="K4" i="6"/>
  <c r="K16" i="6"/>
  <c r="K94" i="6"/>
  <c r="K65" i="6"/>
  <c r="K24" i="6"/>
  <c r="K22" i="6"/>
  <c r="K31" i="6"/>
  <c r="K39" i="6"/>
  <c r="K48" i="6"/>
  <c r="K56" i="6"/>
  <c r="K64" i="6"/>
  <c r="K75" i="6"/>
  <c r="K83" i="6"/>
  <c r="K91" i="6"/>
  <c r="K10" i="6"/>
  <c r="K32" i="6"/>
  <c r="K40" i="6"/>
  <c r="K49" i="6"/>
  <c r="K57" i="6"/>
  <c r="K67" i="6"/>
  <c r="K76" i="6"/>
  <c r="K84" i="6"/>
  <c r="K93" i="6"/>
  <c r="K11" i="6"/>
  <c r="K12" i="6"/>
  <c r="K13" i="6"/>
  <c r="K6" i="6"/>
  <c r="K14" i="6"/>
  <c r="K25" i="6"/>
  <c r="K33" i="6"/>
  <c r="K41" i="6"/>
  <c r="K50" i="6"/>
  <c r="K58" i="6"/>
  <c r="K68" i="6"/>
  <c r="K77" i="6"/>
  <c r="K85" i="6"/>
  <c r="K92" i="6"/>
  <c r="K30" i="6"/>
  <c r="K5" i="6"/>
  <c r="K23" i="6"/>
  <c r="K7" i="6"/>
  <c r="K15" i="6"/>
  <c r="K26" i="6"/>
  <c r="K34" i="6"/>
  <c r="K42" i="6"/>
  <c r="K51" i="6"/>
  <c r="K59" i="6"/>
  <c r="K69" i="6"/>
  <c r="K78" i="6"/>
  <c r="K86" i="6"/>
  <c r="K73" i="6"/>
</calcChain>
</file>

<file path=xl/sharedStrings.xml><?xml version="1.0" encoding="utf-8"?>
<sst xmlns="http://schemas.openxmlformats.org/spreadsheetml/2006/main" count="297" uniqueCount="214">
  <si>
    <t>사규관리규정</t>
  </si>
  <si>
    <t>문서관리규정</t>
  </si>
  <si>
    <t>전자문서관리지침</t>
  </si>
  <si>
    <t>자산관리규정</t>
  </si>
  <si>
    <t>전산업무규정</t>
  </si>
  <si>
    <t>전산업무지침</t>
  </si>
  <si>
    <t>소송업무처리규정</t>
  </si>
  <si>
    <t>차량관리지침</t>
  </si>
  <si>
    <t>업무제안운영지침</t>
  </si>
  <si>
    <t>기부금운영규정</t>
  </si>
  <si>
    <t>소셜미디어 사용 및 운영에 관한 지침</t>
  </si>
  <si>
    <t>브랜드관리규정</t>
  </si>
  <si>
    <t>열쇠관리지침</t>
  </si>
  <si>
    <t>내부회계관리규정</t>
  </si>
  <si>
    <t>내부회계관리운영지침</t>
  </si>
  <si>
    <t>회계업무처리규정</t>
  </si>
  <si>
    <t>회계규정</t>
  </si>
  <si>
    <t>예산규정</t>
  </si>
  <si>
    <t>계약규정</t>
  </si>
  <si>
    <t>세무업무처리지침</t>
  </si>
  <si>
    <t>통장관리지침</t>
  </si>
  <si>
    <t>볼커룰(Volcker Rule)업무규정</t>
  </si>
  <si>
    <t>IT투자협의회 운영지침</t>
  </si>
  <si>
    <t>감사규정</t>
  </si>
  <si>
    <t>감사규정시행지침</t>
  </si>
  <si>
    <t>민원업무처리규정</t>
  </si>
  <si>
    <t>금융범죄행위에대한고발지침</t>
  </si>
  <si>
    <t>부점장업무인계인수지침</t>
  </si>
  <si>
    <t>내부통제규정</t>
  </si>
  <si>
    <t>내부자신고제도운영지침</t>
  </si>
  <si>
    <t>그룹 내부거래 운영규정</t>
  </si>
  <si>
    <t>신용정보업무규정</t>
  </si>
  <si>
    <t>채권추심업무처리지침</t>
  </si>
  <si>
    <t>임대차조사업무처리지침</t>
  </si>
  <si>
    <t>주민등록정보관리지침</t>
  </si>
  <si>
    <t>민원서류발급업무처리지침</t>
  </si>
  <si>
    <t>신용정보관리지침</t>
  </si>
  <si>
    <t>채권책임심의회 운영지침</t>
  </si>
  <si>
    <t>고객정보관리지침</t>
  </si>
  <si>
    <t>번호</t>
    <phoneticPr fontId="1" type="noConversion"/>
  </si>
  <si>
    <t>경영전략부</t>
  </si>
  <si>
    <t>1. 정관·이사회</t>
  </si>
  <si>
    <t>2. 직제·윤리</t>
  </si>
  <si>
    <t>3. 협의회(위원회)</t>
  </si>
  <si>
    <t>영업추진부</t>
  </si>
  <si>
    <t>4. 재무·회계</t>
  </si>
  <si>
    <t>5. 기획·리스크관리</t>
  </si>
  <si>
    <t>6. 인사·복지</t>
  </si>
  <si>
    <t>7. 총무·경영지원</t>
  </si>
  <si>
    <t>8. IT·정보보호</t>
  </si>
  <si>
    <t>9. 영업</t>
  </si>
  <si>
    <t>10. 브랜드·ESG</t>
  </si>
  <si>
    <t>11. 감사·준법·법무</t>
  </si>
  <si>
    <t>감사부</t>
  </si>
  <si>
    <t>정관</t>
  </si>
  <si>
    <t>이사회규정</t>
  </si>
  <si>
    <t>직제규정</t>
  </si>
  <si>
    <t>직무전결규정</t>
  </si>
  <si>
    <t>윤리강령</t>
  </si>
  <si>
    <t>임직원 법규준수 행동기준</t>
  </si>
  <si>
    <t>경영협의회규정</t>
  </si>
  <si>
    <t>리스크관리협의회규정</t>
  </si>
  <si>
    <t>정보보호위원회지침</t>
  </si>
  <si>
    <t>ESG추진협의회 운영기준</t>
  </si>
  <si>
    <t>성과관리규정</t>
  </si>
  <si>
    <t>리스크관리규정</t>
  </si>
  <si>
    <t>리스크관리지침</t>
  </si>
  <si>
    <t>운영리스크관리지침</t>
  </si>
  <si>
    <t>경영자문역운영규정</t>
  </si>
  <si>
    <t>이사보수규정</t>
  </si>
  <si>
    <t>임원퇴직금규정</t>
  </si>
  <si>
    <t>인사규정</t>
  </si>
  <si>
    <t>집행임원운영규정</t>
  </si>
  <si>
    <t>복지후생규정</t>
  </si>
  <si>
    <t>여비규정</t>
  </si>
  <si>
    <t>복무규정</t>
  </si>
  <si>
    <t>인사규정시행지침</t>
  </si>
  <si>
    <t>복지후생규정시행지침</t>
  </si>
  <si>
    <t>복무규정시행지침</t>
  </si>
  <si>
    <t>선임직원 운영지침</t>
  </si>
  <si>
    <t>계약인력관리지침</t>
  </si>
  <si>
    <t>촉탁직관리지침</t>
  </si>
  <si>
    <t>정보보호규정</t>
  </si>
  <si>
    <t>정보보호관리지침</t>
  </si>
  <si>
    <t>IT인프라 보안 지침</t>
  </si>
  <si>
    <t>물리 보안 지침</t>
  </si>
  <si>
    <t>직장내성희롱예방지침</t>
  </si>
  <si>
    <t>인덱스</t>
    <phoneticPr fontId="1" type="noConversion"/>
  </si>
  <si>
    <t>중복 검증</t>
    <phoneticPr fontId="1" type="noConversion"/>
  </si>
  <si>
    <t>(10-1)</t>
  </si>
  <si>
    <t>(10-2)</t>
  </si>
  <si>
    <t>(10-3)</t>
  </si>
  <si>
    <t>(11-1)</t>
  </si>
  <si>
    <t>(11-10)</t>
  </si>
  <si>
    <t>(11-11)</t>
  </si>
  <si>
    <t>(11-12)</t>
  </si>
  <si>
    <t>(11-13)</t>
  </si>
  <si>
    <t>(11-14)</t>
  </si>
  <si>
    <t>(11-15)</t>
  </si>
  <si>
    <t>(11-2)</t>
  </si>
  <si>
    <t>(11-3)</t>
  </si>
  <si>
    <t>(11-4)</t>
  </si>
  <si>
    <t>(11-5)</t>
  </si>
  <si>
    <t>(11-6)</t>
  </si>
  <si>
    <t>(11-7)</t>
  </si>
  <si>
    <t>(11-8)</t>
  </si>
  <si>
    <t>(11-9)</t>
  </si>
  <si>
    <t>(2-3)</t>
  </si>
  <si>
    <t>(2-4)</t>
  </si>
  <si>
    <t>(3-1)</t>
  </si>
  <si>
    <t>(3-2)</t>
  </si>
  <si>
    <t>(3-3)</t>
  </si>
  <si>
    <t>(3-4)</t>
  </si>
  <si>
    <t>(3-5)</t>
  </si>
  <si>
    <t>(3-6)</t>
  </si>
  <si>
    <t>(4-1)</t>
  </si>
  <si>
    <t>(4-2)</t>
  </si>
  <si>
    <t>(4-3)</t>
  </si>
  <si>
    <t>(4-4)</t>
  </si>
  <si>
    <t>(4-5)</t>
  </si>
  <si>
    <t>(4-6)</t>
  </si>
  <si>
    <t>(4-7)</t>
  </si>
  <si>
    <t>(5-1)</t>
  </si>
  <si>
    <t>(5-2)</t>
  </si>
  <si>
    <t>(5-3)</t>
  </si>
  <si>
    <t>(5-4)</t>
  </si>
  <si>
    <t>(5-5)</t>
  </si>
  <si>
    <t>(5-6)</t>
  </si>
  <si>
    <t>(6-1)</t>
  </si>
  <si>
    <t>(6-10)</t>
  </si>
  <si>
    <t>(6-11)</t>
  </si>
  <si>
    <t>(6-12)</t>
  </si>
  <si>
    <t>(6-13)</t>
  </si>
  <si>
    <t>(6-14)</t>
  </si>
  <si>
    <t>(6-15)</t>
  </si>
  <si>
    <t>(6-2)</t>
  </si>
  <si>
    <t>(6-3)</t>
  </si>
  <si>
    <t>(6-4)</t>
  </si>
  <si>
    <t>(6-5)</t>
  </si>
  <si>
    <t>(6-6)</t>
  </si>
  <si>
    <t>(6-7)</t>
  </si>
  <si>
    <t>(6-8)</t>
  </si>
  <si>
    <t>(6-9)</t>
  </si>
  <si>
    <t>(7-1)</t>
  </si>
  <si>
    <t>(7-2)</t>
  </si>
  <si>
    <t>(7-3)</t>
  </si>
  <si>
    <t>(7-4)</t>
  </si>
  <si>
    <t>(7-5)</t>
  </si>
  <si>
    <t>(7-6)</t>
  </si>
  <si>
    <t>(7-7)</t>
  </si>
  <si>
    <t>(8-1)</t>
  </si>
  <si>
    <t>(8-10)</t>
  </si>
  <si>
    <t>(8-2)</t>
  </si>
  <si>
    <t>(8-3)</t>
  </si>
  <si>
    <t>(8-4)</t>
  </si>
  <si>
    <t>(8-5)</t>
  </si>
  <si>
    <t>(8-6)</t>
  </si>
  <si>
    <t>(8-7)</t>
  </si>
  <si>
    <t>(8-8)</t>
  </si>
  <si>
    <t>(8-9)</t>
  </si>
  <si>
    <t>(9-1)</t>
  </si>
  <si>
    <t>(9-2)</t>
  </si>
  <si>
    <t>(9-4)</t>
  </si>
  <si>
    <t>(9-5)</t>
  </si>
  <si>
    <t>(9-6)</t>
  </si>
  <si>
    <t>(9-7)</t>
  </si>
  <si>
    <t>사규명</t>
    <phoneticPr fontId="1" type="noConversion"/>
  </si>
  <si>
    <t>구분</t>
    <phoneticPr fontId="1" type="noConversion"/>
  </si>
  <si>
    <t>(11-16)</t>
  </si>
  <si>
    <t>(9-8)</t>
  </si>
  <si>
    <t>소관부서</t>
    <phoneticPr fontId="1" type="noConversion"/>
  </si>
  <si>
    <t>(1-1)</t>
  </si>
  <si>
    <t>(1-2)</t>
  </si>
  <si>
    <t>(2-1)</t>
  </si>
  <si>
    <t>(2-2)</t>
  </si>
  <si>
    <t>(3-7)</t>
  </si>
  <si>
    <t>재무전략협의회규정</t>
  </si>
  <si>
    <t>(4-8)</t>
  </si>
  <si>
    <t>재무관리규정</t>
  </si>
  <si>
    <t>모회사와의 사전협의 관리규정</t>
  </si>
  <si>
    <t>보수및퇴직금규정</t>
  </si>
  <si>
    <t>외부용역 · 컨설팅운영지침</t>
  </si>
  <si>
    <t>고객정보의제공및이용에관한규정</t>
  </si>
  <si>
    <t>그룹 IT 협력지침</t>
  </si>
  <si>
    <t>전자문서사업부</t>
  </si>
  <si>
    <t>전자화문서관리규정</t>
  </si>
  <si>
    <t>채권추심내부기준</t>
  </si>
  <si>
    <t>사고금정리규정</t>
  </si>
  <si>
    <t>자점검사업무지침</t>
  </si>
  <si>
    <t>업무위탁운용에 관한 지침</t>
  </si>
  <si>
    <t>이용자보호기준</t>
  </si>
  <si>
    <t>감사부</t>
    <phoneticPr fontId="1" type="noConversion"/>
  </si>
  <si>
    <t>(8-11)</t>
    <phoneticPr fontId="1" type="noConversion"/>
  </si>
  <si>
    <t>개인정보보호 내부 관리계획</t>
    <phoneticPr fontId="1" type="noConversion"/>
  </si>
  <si>
    <t>제정일자</t>
    <phoneticPr fontId="1" type="noConversion"/>
  </si>
  <si>
    <t>(11-17)</t>
    <phoneticPr fontId="1" type="noConversion"/>
  </si>
  <si>
    <t>내부통제정책</t>
    <phoneticPr fontId="1" type="noConversion"/>
  </si>
  <si>
    <t>(3-8)</t>
    <phoneticPr fontId="1" type="noConversion"/>
  </si>
  <si>
    <t>AI윤리위원회 운영지침</t>
    <phoneticPr fontId="1" type="noConversion"/>
  </si>
  <si>
    <t>(8-12)</t>
    <phoneticPr fontId="1" type="noConversion"/>
  </si>
  <si>
    <t>AI업무규정</t>
    <phoneticPr fontId="1" type="noConversion"/>
  </si>
  <si>
    <t>신사업추진부</t>
    <phoneticPr fontId="1" type="noConversion"/>
  </si>
  <si>
    <t>(6-16)</t>
    <phoneticPr fontId="1" type="noConversion"/>
  </si>
  <si>
    <t>연수규정</t>
    <phoneticPr fontId="1" type="noConversion"/>
  </si>
  <si>
    <t>최근 개정일자</t>
    <phoneticPr fontId="1" type="noConversion"/>
  </si>
  <si>
    <t>IT운영부</t>
    <phoneticPr fontId="1" type="noConversion"/>
  </si>
  <si>
    <t>IT운영부(정보보호팀)</t>
    <phoneticPr fontId="1" type="noConversion"/>
  </si>
  <si>
    <t>DT개발부</t>
    <phoneticPr fontId="1" type="noConversion"/>
  </si>
  <si>
    <t>(9-3)</t>
    <phoneticPr fontId="1" type="noConversion"/>
  </si>
  <si>
    <t>공인전자문서센터 운영규정</t>
    <phoneticPr fontId="1" type="noConversion"/>
  </si>
  <si>
    <t>전자문서사업부</t>
    <phoneticPr fontId="1" type="noConversion"/>
  </si>
  <si>
    <r>
      <t>(별표 제1호) 사규 목차</t>
    </r>
    <r>
      <rPr>
        <sz val="16"/>
        <color theme="1" tint="0.14999847407452621"/>
        <rFont val="KB금융 본문체 Medium"/>
        <family val="3"/>
        <charset val="129"/>
      </rPr>
      <t>(2026. 2. 20. 개정)</t>
    </r>
    <phoneticPr fontId="1" type="noConversion"/>
  </si>
  <si>
    <t>(8-13)</t>
    <phoneticPr fontId="1" type="noConversion"/>
  </si>
  <si>
    <t>AI위험관리지침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</si>
</sst>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yyyy\.\ mm\.\ dd\.\(aaa\)"/>
  </numFmts>
  <fonts count="9" x14ac:knownFonts="1"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2"/>
      <color theme="1" tint="0.14999847407452621"/>
      <name val="KB금융 본문체 Medium"/>
      <family val="3"/>
      <charset val="129"/>
    </font>
    <font>
      <sz val="14"/>
      <color theme="1" tint="0.14999847407452621"/>
      <name val="KB금융 본문체 Medium"/>
      <family val="3"/>
      <charset val="129"/>
    </font>
    <font>
      <sz val="13"/>
      <color theme="1" tint="0.14999847407452621"/>
      <name val="KB금융 본문체 Medium"/>
      <family val="3"/>
      <charset val="129"/>
    </font>
    <font>
      <sz val="24"/>
      <color theme="1" tint="0.14999847407452621"/>
      <name val="KB금융 본문체 Medium"/>
      <family val="3"/>
      <charset val="129"/>
    </font>
    <font>
      <sz val="13"/>
      <color theme="1"/>
      <name val="KB금융 본문체 Medium"/>
      <family val="3"/>
      <charset val="129"/>
    </font>
    <font>
      <u/>
      <sz val="13"/>
      <color rgb="FFFF0000"/>
      <name val="KB금융 본문체 Medium"/>
      <family val="3"/>
      <charset val="129"/>
    </font>
    <font>
      <sz val="16"/>
      <color theme="1" tint="0.14999847407452621"/>
      <name val="KB금융 본문체 Medium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 indent="1"/>
    </xf>
    <xf numFmtId="0" fontId="6" fillId="0" borderId="3" xfId="0" applyFont="1" applyFill="1" applyBorder="1" applyAlignment="1">
      <alignment horizontal="left" vertical="center" wrapText="1" indent="1"/>
    </xf>
    <xf numFmtId="0" fontId="6" fillId="0" borderId="4" xfId="0" applyFont="1" applyFill="1" applyBorder="1" applyAlignment="1">
      <alignment horizontal="left" vertical="center" wrapText="1" indent="1"/>
    </xf>
    <xf numFmtId="0" fontId="6" fillId="0" borderId="1" xfId="0" applyFont="1" applyFill="1" applyBorder="1" applyAlignment="1">
      <alignment horizontal="left" vertical="center" wrapText="1" inden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95"/>
  <sheetViews>
    <sheetView showGridLines="0" tabSelected="1" view="pageBreakPreview" topLeftCell="A58" zoomScale="70" zoomScaleNormal="115" zoomScaleSheetLayoutView="70" workbookViewId="0">
      <selection activeCell="E72" sqref="E72"/>
    </sheetView>
  </sheetViews>
  <sheetFormatPr defaultRowHeight="16.5" x14ac:dyDescent="0.3"/>
  <cols>
    <col min="1" max="1" width="3.75" style="1" customWidth="1"/>
    <col min="2" max="2" width="9.625" style="3" customWidth="1"/>
    <col min="3" max="3" width="23.25" style="1" customWidth="1"/>
    <col min="4" max="4" width="9.625" style="3" customWidth="1"/>
    <col min="5" max="5" width="47" style="1" customWidth="1"/>
    <col min="6" max="6" width="22.5" style="3" bestFit="1" customWidth="1"/>
    <col min="7" max="8" width="16.625" style="3" customWidth="1"/>
    <col min="9" max="10" width="9" style="1"/>
    <col min="11" max="12" width="10.875" style="3" bestFit="1" customWidth="1"/>
    <col min="13" max="16384" width="9" style="1"/>
  </cols>
  <sheetData>
    <row r="1" spans="2:17" ht="39" customHeight="1" x14ac:dyDescent="0.3">
      <c r="B1" s="23" t="s">
        <v>211</v>
      </c>
      <c r="C1" s="23"/>
      <c r="D1" s="23"/>
      <c r="E1" s="23"/>
      <c r="F1" s="23"/>
      <c r="G1" s="23"/>
      <c r="H1" s="23"/>
    </row>
    <row r="2" spans="2:17" ht="15" customHeight="1" x14ac:dyDescent="0.3">
      <c r="B2" s="24"/>
      <c r="C2" s="24"/>
      <c r="D2" s="24"/>
      <c r="E2" s="24"/>
      <c r="F2" s="24"/>
      <c r="G2" s="24"/>
      <c r="H2" s="24"/>
    </row>
    <row r="3" spans="2:17" s="2" customFormat="1" ht="26.25" customHeight="1" x14ac:dyDescent="0.3">
      <c r="B3" s="4" t="s">
        <v>39</v>
      </c>
      <c r="C3" s="4" t="s">
        <v>167</v>
      </c>
      <c r="D3" s="4" t="s">
        <v>87</v>
      </c>
      <c r="E3" s="4" t="s">
        <v>166</v>
      </c>
      <c r="F3" s="4" t="s">
        <v>170</v>
      </c>
      <c r="G3" s="4" t="s">
        <v>204</v>
      </c>
      <c r="H3" s="4" t="s">
        <v>194</v>
      </c>
      <c r="K3" s="10" t="s">
        <v>88</v>
      </c>
      <c r="L3" s="10" t="s">
        <v>88</v>
      </c>
    </row>
    <row r="4" spans="2:17" ht="21.95" customHeight="1" x14ac:dyDescent="0.3">
      <c r="B4" s="6">
        <f>ROW(C4)-3</f>
        <v>1</v>
      </c>
      <c r="C4" s="19" t="s">
        <v>41</v>
      </c>
      <c r="D4" s="7" t="s">
        <v>171</v>
      </c>
      <c r="E4" s="8" t="s">
        <v>54</v>
      </c>
      <c r="F4" s="6" t="s">
        <v>40</v>
      </c>
      <c r="G4" s="9">
        <v>45660</v>
      </c>
      <c r="H4" s="9">
        <v>36442</v>
      </c>
      <c r="K4" s="3">
        <f>COUNTIF($B$4:$B$154,B4)</f>
        <v>1</v>
      </c>
      <c r="L4" s="3">
        <f>COUNTIF($E$4:$E$154,E4)</f>
        <v>1</v>
      </c>
      <c r="Q4" s="5"/>
    </row>
    <row r="5" spans="2:17" ht="21.95" customHeight="1" x14ac:dyDescent="0.3">
      <c r="B5" s="6">
        <f t="shared" ref="B5:B69" si="0">ROW(C5)-3</f>
        <v>2</v>
      </c>
      <c r="C5" s="19"/>
      <c r="D5" s="7" t="s">
        <v>172</v>
      </c>
      <c r="E5" s="8" t="s">
        <v>55</v>
      </c>
      <c r="F5" s="6" t="s">
        <v>40</v>
      </c>
      <c r="G5" s="9">
        <v>45474</v>
      </c>
      <c r="H5" s="9">
        <v>36442</v>
      </c>
      <c r="K5" s="3">
        <f>COUNTIF($B$4:$B$154,B5)</f>
        <v>1</v>
      </c>
      <c r="L5" s="3">
        <f>COUNTIF($E$4:$E$154,E5)</f>
        <v>1</v>
      </c>
      <c r="Q5" s="5"/>
    </row>
    <row r="6" spans="2:17" ht="21.95" customHeight="1" x14ac:dyDescent="0.3">
      <c r="B6" s="6">
        <f t="shared" si="0"/>
        <v>3</v>
      </c>
      <c r="C6" s="19" t="s">
        <v>42</v>
      </c>
      <c r="D6" s="7" t="s">
        <v>173</v>
      </c>
      <c r="E6" s="8" t="s">
        <v>56</v>
      </c>
      <c r="F6" s="6" t="s">
        <v>40</v>
      </c>
      <c r="G6" s="9">
        <v>46015</v>
      </c>
      <c r="H6" s="9">
        <v>36442</v>
      </c>
      <c r="K6" s="3">
        <f>COUNTIF($B$4:$B$154,B6)</f>
        <v>1</v>
      </c>
      <c r="L6" s="3">
        <f>COUNTIF($E$4:$E$154,E6)</f>
        <v>1</v>
      </c>
      <c r="Q6" s="5"/>
    </row>
    <row r="7" spans="2:17" ht="21.95" customHeight="1" x14ac:dyDescent="0.3">
      <c r="B7" s="6">
        <f t="shared" si="0"/>
        <v>4</v>
      </c>
      <c r="C7" s="19"/>
      <c r="D7" s="7" t="s">
        <v>174</v>
      </c>
      <c r="E7" s="8" t="s">
        <v>57</v>
      </c>
      <c r="F7" s="6" t="s">
        <v>40</v>
      </c>
      <c r="G7" s="9">
        <v>45646</v>
      </c>
      <c r="H7" s="9">
        <v>36442</v>
      </c>
      <c r="K7" s="3">
        <f>COUNTIF($B$4:$B$154,B7)</f>
        <v>1</v>
      </c>
      <c r="L7" s="3">
        <f>COUNTIF($E$4:$E$154,E7)</f>
        <v>1</v>
      </c>
      <c r="Q7" s="5"/>
    </row>
    <row r="8" spans="2:17" ht="21.95" customHeight="1" x14ac:dyDescent="0.3">
      <c r="B8" s="6">
        <f t="shared" si="0"/>
        <v>5</v>
      </c>
      <c r="C8" s="19"/>
      <c r="D8" s="7" t="s">
        <v>107</v>
      </c>
      <c r="E8" s="8" t="s">
        <v>58</v>
      </c>
      <c r="F8" s="6" t="s">
        <v>40</v>
      </c>
      <c r="G8" s="9">
        <v>42641</v>
      </c>
      <c r="H8" s="9">
        <v>42362</v>
      </c>
      <c r="K8" s="3">
        <f>COUNTIF($B$4:$B$154,B8)</f>
        <v>1</v>
      </c>
      <c r="L8" s="3">
        <f>COUNTIF($E$4:$E$154,E8)</f>
        <v>1</v>
      </c>
      <c r="Q8" s="5"/>
    </row>
    <row r="9" spans="2:17" ht="21.95" customHeight="1" x14ac:dyDescent="0.3">
      <c r="B9" s="6">
        <f t="shared" si="0"/>
        <v>6</v>
      </c>
      <c r="C9" s="19"/>
      <c r="D9" s="7" t="s">
        <v>108</v>
      </c>
      <c r="E9" s="8" t="s">
        <v>59</v>
      </c>
      <c r="F9" s="6" t="s">
        <v>53</v>
      </c>
      <c r="G9" s="9">
        <v>45147</v>
      </c>
      <c r="H9" s="9">
        <v>42654</v>
      </c>
      <c r="K9" s="3">
        <f>COUNTIF($B$4:$B$154,B9)</f>
        <v>1</v>
      </c>
      <c r="L9" s="3">
        <f>COUNTIF($E$4:$E$154,E9)</f>
        <v>1</v>
      </c>
      <c r="Q9" s="5"/>
    </row>
    <row r="10" spans="2:17" ht="21.95" customHeight="1" x14ac:dyDescent="0.3">
      <c r="B10" s="6">
        <f t="shared" si="0"/>
        <v>7</v>
      </c>
      <c r="C10" s="20" t="s">
        <v>43</v>
      </c>
      <c r="D10" s="7" t="s">
        <v>109</v>
      </c>
      <c r="E10" s="8" t="s">
        <v>60</v>
      </c>
      <c r="F10" s="6" t="s">
        <v>40</v>
      </c>
      <c r="G10" s="9">
        <v>44446</v>
      </c>
      <c r="H10" s="9">
        <v>36602</v>
      </c>
      <c r="K10" s="3">
        <f>COUNTIF($B$4:$B$154,B10)</f>
        <v>1</v>
      </c>
      <c r="L10" s="3">
        <f>COUNTIF($E$4:$E$154,E10)</f>
        <v>1</v>
      </c>
      <c r="Q10" s="5"/>
    </row>
    <row r="11" spans="2:17" ht="21.95" customHeight="1" x14ac:dyDescent="0.3">
      <c r="B11" s="6">
        <f t="shared" si="0"/>
        <v>8</v>
      </c>
      <c r="C11" s="21"/>
      <c r="D11" s="7" t="s">
        <v>110</v>
      </c>
      <c r="E11" s="8" t="s">
        <v>61</v>
      </c>
      <c r="F11" s="6" t="s">
        <v>40</v>
      </c>
      <c r="G11" s="9">
        <v>43185</v>
      </c>
      <c r="H11" s="9">
        <v>38786</v>
      </c>
      <c r="K11" s="3">
        <f>COUNTIF($B$4:$B$154,B11)</f>
        <v>1</v>
      </c>
      <c r="L11" s="3">
        <f>COUNTIF($E$4:$E$154,E11)</f>
        <v>1</v>
      </c>
      <c r="Q11" s="5"/>
    </row>
    <row r="12" spans="2:17" ht="21.95" customHeight="1" x14ac:dyDescent="0.3">
      <c r="B12" s="6">
        <f t="shared" si="0"/>
        <v>9</v>
      </c>
      <c r="C12" s="21"/>
      <c r="D12" s="7" t="s">
        <v>111</v>
      </c>
      <c r="E12" s="8" t="s">
        <v>22</v>
      </c>
      <c r="F12" s="6" t="s">
        <v>205</v>
      </c>
      <c r="G12" s="9">
        <v>44770</v>
      </c>
      <c r="H12" s="9">
        <v>44568</v>
      </c>
      <c r="K12" s="3">
        <f>COUNTIF($B$4:$B$154,B12)</f>
        <v>1</v>
      </c>
      <c r="L12" s="3">
        <f>COUNTIF($E$4:$E$154,E12)</f>
        <v>1</v>
      </c>
      <c r="Q12" s="5"/>
    </row>
    <row r="13" spans="2:17" ht="21.95" customHeight="1" x14ac:dyDescent="0.3">
      <c r="B13" s="6">
        <f t="shared" si="0"/>
        <v>10</v>
      </c>
      <c r="C13" s="21"/>
      <c r="D13" s="7" t="s">
        <v>112</v>
      </c>
      <c r="E13" s="8" t="s">
        <v>62</v>
      </c>
      <c r="F13" s="6" t="s">
        <v>206</v>
      </c>
      <c r="G13" s="9">
        <v>46023</v>
      </c>
      <c r="H13" s="9">
        <v>45078</v>
      </c>
      <c r="K13" s="3">
        <f>COUNTIF($B$4:$B$154,B13)</f>
        <v>1</v>
      </c>
      <c r="L13" s="3">
        <f>COUNTIF($E$4:$E$154,E13)</f>
        <v>1</v>
      </c>
      <c r="Q13" s="5"/>
    </row>
    <row r="14" spans="2:17" ht="21.95" customHeight="1" x14ac:dyDescent="0.3">
      <c r="B14" s="6">
        <f t="shared" si="0"/>
        <v>11</v>
      </c>
      <c r="C14" s="21"/>
      <c r="D14" s="7" t="s">
        <v>113</v>
      </c>
      <c r="E14" s="8" t="s">
        <v>63</v>
      </c>
      <c r="F14" s="6" t="s">
        <v>40</v>
      </c>
      <c r="G14" s="9">
        <v>44602</v>
      </c>
      <c r="H14" s="9">
        <v>44420</v>
      </c>
      <c r="K14" s="3">
        <f>COUNTIF($B$4:$B$154,B14)</f>
        <v>1</v>
      </c>
      <c r="L14" s="3">
        <f>COUNTIF($E$4:$E$154,E14)</f>
        <v>1</v>
      </c>
      <c r="Q14" s="5"/>
    </row>
    <row r="15" spans="2:17" ht="21.95" customHeight="1" x14ac:dyDescent="0.3">
      <c r="B15" s="6">
        <f t="shared" si="0"/>
        <v>12</v>
      </c>
      <c r="C15" s="21"/>
      <c r="D15" s="7" t="s">
        <v>114</v>
      </c>
      <c r="E15" s="8" t="s">
        <v>37</v>
      </c>
      <c r="F15" s="6" t="s">
        <v>40</v>
      </c>
      <c r="G15" s="9">
        <v>45721</v>
      </c>
      <c r="H15" s="9">
        <v>43528</v>
      </c>
      <c r="K15" s="3">
        <f>COUNTIF($B$4:$B$154,B15)</f>
        <v>1</v>
      </c>
      <c r="L15" s="3">
        <f>COUNTIF($E$4:$E$154,E15)</f>
        <v>1</v>
      </c>
      <c r="Q15" s="5"/>
    </row>
    <row r="16" spans="2:17" ht="21.95" customHeight="1" x14ac:dyDescent="0.3">
      <c r="B16" s="6">
        <f t="shared" si="0"/>
        <v>13</v>
      </c>
      <c r="C16" s="21"/>
      <c r="D16" s="7" t="s">
        <v>175</v>
      </c>
      <c r="E16" s="8" t="s">
        <v>176</v>
      </c>
      <c r="F16" s="6" t="s">
        <v>40</v>
      </c>
      <c r="G16" s="9">
        <v>45629</v>
      </c>
      <c r="H16" s="9">
        <v>45629</v>
      </c>
      <c r="K16" s="3">
        <f>COUNTIF($B$4:$B$154,B16)</f>
        <v>1</v>
      </c>
      <c r="L16" s="3">
        <f>COUNTIF($E$4:$E$154,E16)</f>
        <v>1</v>
      </c>
      <c r="Q16" s="5"/>
    </row>
    <row r="17" spans="2:17" ht="21.95" customHeight="1" x14ac:dyDescent="0.3">
      <c r="B17" s="6">
        <f t="shared" si="0"/>
        <v>14</v>
      </c>
      <c r="C17" s="22"/>
      <c r="D17" s="7" t="s">
        <v>197</v>
      </c>
      <c r="E17" s="8" t="s">
        <v>198</v>
      </c>
      <c r="F17" s="6" t="s">
        <v>207</v>
      </c>
      <c r="G17" s="9">
        <v>46023</v>
      </c>
      <c r="H17" s="9">
        <v>45931</v>
      </c>
      <c r="K17" s="3">
        <f>COUNTIF($B$4:$B$154,B17)</f>
        <v>1</v>
      </c>
      <c r="L17" s="3">
        <f>COUNTIF($E$4:$E$154,E17)</f>
        <v>1</v>
      </c>
      <c r="Q17" s="5"/>
    </row>
    <row r="18" spans="2:17" ht="21.95" customHeight="1" x14ac:dyDescent="0.3">
      <c r="B18" s="6">
        <f t="shared" si="0"/>
        <v>15</v>
      </c>
      <c r="C18" s="19" t="s">
        <v>45</v>
      </c>
      <c r="D18" s="7" t="s">
        <v>115</v>
      </c>
      <c r="E18" s="8" t="s">
        <v>17</v>
      </c>
      <c r="F18" s="6" t="s">
        <v>40</v>
      </c>
      <c r="G18" s="9">
        <v>45049</v>
      </c>
      <c r="H18" s="9">
        <v>36442</v>
      </c>
      <c r="K18" s="3">
        <f>COUNTIF($B$4:$B$154,B18)</f>
        <v>1</v>
      </c>
      <c r="L18" s="3">
        <f>COUNTIF($E$4:$E$154,E18)</f>
        <v>1</v>
      </c>
      <c r="Q18" s="5"/>
    </row>
    <row r="19" spans="2:17" ht="21.95" customHeight="1" x14ac:dyDescent="0.3">
      <c r="B19" s="6">
        <f t="shared" si="0"/>
        <v>16</v>
      </c>
      <c r="C19" s="19"/>
      <c r="D19" s="7" t="s">
        <v>116</v>
      </c>
      <c r="E19" s="8" t="s">
        <v>13</v>
      </c>
      <c r="F19" s="6" t="s">
        <v>40</v>
      </c>
      <c r="G19" s="9">
        <v>45656</v>
      </c>
      <c r="H19" s="9">
        <v>37678</v>
      </c>
      <c r="K19" s="3">
        <f>COUNTIF($B$4:$B$154,B19)</f>
        <v>1</v>
      </c>
      <c r="L19" s="3">
        <f>COUNTIF($E$4:$E$154,E19)</f>
        <v>1</v>
      </c>
      <c r="Q19" s="5"/>
    </row>
    <row r="20" spans="2:17" ht="21.95" customHeight="1" x14ac:dyDescent="0.3">
      <c r="B20" s="6">
        <f t="shared" si="0"/>
        <v>17</v>
      </c>
      <c r="C20" s="19"/>
      <c r="D20" s="7" t="s">
        <v>117</v>
      </c>
      <c r="E20" s="8" t="s">
        <v>16</v>
      </c>
      <c r="F20" s="6" t="s">
        <v>40</v>
      </c>
      <c r="G20" s="9">
        <v>45107</v>
      </c>
      <c r="H20" s="9">
        <v>36442</v>
      </c>
      <c r="K20" s="3">
        <f>COUNTIF($B$4:$B$154,B20)</f>
        <v>1</v>
      </c>
      <c r="L20" s="3">
        <f>COUNTIF($E$4:$E$154,E20)</f>
        <v>1</v>
      </c>
      <c r="Q20" s="5"/>
    </row>
    <row r="21" spans="2:17" ht="21.95" customHeight="1" x14ac:dyDescent="0.3">
      <c r="B21" s="6">
        <f t="shared" si="0"/>
        <v>18</v>
      </c>
      <c r="C21" s="19"/>
      <c r="D21" s="7" t="s">
        <v>118</v>
      </c>
      <c r="E21" s="8" t="s">
        <v>19</v>
      </c>
      <c r="F21" s="6" t="s">
        <v>40</v>
      </c>
      <c r="G21" s="9">
        <v>40333</v>
      </c>
      <c r="H21" s="9">
        <v>38705</v>
      </c>
      <c r="K21" s="3">
        <f>COUNTIF($B$4:$B$154,B21)</f>
        <v>1</v>
      </c>
      <c r="L21" s="3">
        <f>COUNTIF($E$4:$E$154,E21)</f>
        <v>1</v>
      </c>
      <c r="Q21" s="5"/>
    </row>
    <row r="22" spans="2:17" ht="21.95" customHeight="1" x14ac:dyDescent="0.3">
      <c r="B22" s="6">
        <f t="shared" si="0"/>
        <v>19</v>
      </c>
      <c r="C22" s="19"/>
      <c r="D22" s="7" t="s">
        <v>119</v>
      </c>
      <c r="E22" s="8" t="s">
        <v>14</v>
      </c>
      <c r="F22" s="6" t="s">
        <v>40</v>
      </c>
      <c r="G22" s="9">
        <v>45656</v>
      </c>
      <c r="H22" s="9">
        <v>37678</v>
      </c>
      <c r="K22" s="3">
        <f>COUNTIF($B$4:$B$154,B22)</f>
        <v>1</v>
      </c>
      <c r="L22" s="3">
        <f>COUNTIF($E$4:$E$154,E22)</f>
        <v>1</v>
      </c>
      <c r="Q22" s="5"/>
    </row>
    <row r="23" spans="2:17" ht="21.95" customHeight="1" x14ac:dyDescent="0.3">
      <c r="B23" s="6">
        <f t="shared" si="0"/>
        <v>20</v>
      </c>
      <c r="C23" s="19"/>
      <c r="D23" s="7" t="s">
        <v>120</v>
      </c>
      <c r="E23" s="8" t="s">
        <v>15</v>
      </c>
      <c r="F23" s="6" t="s">
        <v>40</v>
      </c>
      <c r="G23" s="9">
        <v>37678</v>
      </c>
      <c r="H23" s="9">
        <v>37678</v>
      </c>
      <c r="K23" s="3">
        <f>COUNTIF($B$4:$B$154,B23)</f>
        <v>1</v>
      </c>
      <c r="L23" s="3">
        <f>COUNTIF($E$4:$E$154,E23)</f>
        <v>1</v>
      </c>
      <c r="Q23" s="5"/>
    </row>
    <row r="24" spans="2:17" ht="21.95" customHeight="1" x14ac:dyDescent="0.3">
      <c r="B24" s="6">
        <f t="shared" si="0"/>
        <v>21</v>
      </c>
      <c r="C24" s="19"/>
      <c r="D24" s="7" t="s">
        <v>121</v>
      </c>
      <c r="E24" s="8" t="s">
        <v>20</v>
      </c>
      <c r="F24" s="6" t="s">
        <v>40</v>
      </c>
      <c r="G24" s="9">
        <v>45876</v>
      </c>
      <c r="H24" s="9">
        <v>40431</v>
      </c>
      <c r="K24" s="3">
        <f>COUNTIF($B$4:$B$154,B24)</f>
        <v>1</v>
      </c>
      <c r="L24" s="3">
        <f>COUNTIF($E$4:$E$154,E24)</f>
        <v>1</v>
      </c>
      <c r="Q24" s="5"/>
    </row>
    <row r="25" spans="2:17" ht="21.95" customHeight="1" x14ac:dyDescent="0.3">
      <c r="B25" s="6">
        <f t="shared" si="0"/>
        <v>22</v>
      </c>
      <c r="C25" s="19"/>
      <c r="D25" s="7" t="s">
        <v>177</v>
      </c>
      <c r="E25" s="8" t="s">
        <v>178</v>
      </c>
      <c r="F25" s="6" t="s">
        <v>40</v>
      </c>
      <c r="G25" s="9">
        <v>45629</v>
      </c>
      <c r="H25" s="9">
        <v>45629</v>
      </c>
      <c r="K25" s="3">
        <f>COUNTIF($B$4:$B$154,B25)</f>
        <v>1</v>
      </c>
      <c r="L25" s="3">
        <f>COUNTIF($E$4:$E$154,E25)</f>
        <v>1</v>
      </c>
      <c r="Q25" s="5"/>
    </row>
    <row r="26" spans="2:17" ht="21.95" customHeight="1" x14ac:dyDescent="0.3">
      <c r="B26" s="6">
        <f t="shared" si="0"/>
        <v>23</v>
      </c>
      <c r="C26" s="19" t="s">
        <v>46</v>
      </c>
      <c r="D26" s="7" t="s">
        <v>122</v>
      </c>
      <c r="E26" s="8" t="s">
        <v>64</v>
      </c>
      <c r="F26" s="6" t="s">
        <v>40</v>
      </c>
      <c r="G26" s="9">
        <v>46015</v>
      </c>
      <c r="H26" s="9">
        <v>36689</v>
      </c>
      <c r="K26" s="3">
        <f>COUNTIF($B$4:$B$154,B26)</f>
        <v>1</v>
      </c>
      <c r="L26" s="3">
        <f>COUNTIF($E$4:$E$154,E26)</f>
        <v>1</v>
      </c>
      <c r="Q26" s="5"/>
    </row>
    <row r="27" spans="2:17" ht="21.95" customHeight="1" x14ac:dyDescent="0.3">
      <c r="B27" s="6">
        <f t="shared" si="0"/>
        <v>24</v>
      </c>
      <c r="C27" s="19"/>
      <c r="D27" s="7" t="s">
        <v>123</v>
      </c>
      <c r="E27" s="8" t="s">
        <v>8</v>
      </c>
      <c r="F27" s="6" t="s">
        <v>40</v>
      </c>
      <c r="G27" s="9">
        <v>45085</v>
      </c>
      <c r="H27" s="9">
        <v>37073</v>
      </c>
      <c r="K27" s="3">
        <f>COUNTIF($B$4:$B$154,B27)</f>
        <v>1</v>
      </c>
      <c r="L27" s="3">
        <f>COUNTIF($E$4:$E$154,E27)</f>
        <v>1</v>
      </c>
      <c r="Q27" s="5"/>
    </row>
    <row r="28" spans="2:17" ht="21.95" customHeight="1" x14ac:dyDescent="0.3">
      <c r="B28" s="6">
        <f t="shared" si="0"/>
        <v>25</v>
      </c>
      <c r="C28" s="19"/>
      <c r="D28" s="7" t="s">
        <v>124</v>
      </c>
      <c r="E28" s="8" t="s">
        <v>65</v>
      </c>
      <c r="F28" s="6" t="s">
        <v>40</v>
      </c>
      <c r="G28" s="9">
        <v>45107</v>
      </c>
      <c r="H28" s="9">
        <v>38786</v>
      </c>
      <c r="K28" s="3">
        <f>COUNTIF($B$4:$B$154,B28)</f>
        <v>1</v>
      </c>
      <c r="L28" s="3">
        <f>COUNTIF($E$4:$E$154,E28)</f>
        <v>1</v>
      </c>
      <c r="Q28" s="5"/>
    </row>
    <row r="29" spans="2:17" ht="21.95" customHeight="1" x14ac:dyDescent="0.3">
      <c r="B29" s="6">
        <f t="shared" si="0"/>
        <v>26</v>
      </c>
      <c r="C29" s="19"/>
      <c r="D29" s="7" t="s">
        <v>125</v>
      </c>
      <c r="E29" s="8" t="s">
        <v>66</v>
      </c>
      <c r="F29" s="6" t="s">
        <v>40</v>
      </c>
      <c r="G29" s="9">
        <v>45107</v>
      </c>
      <c r="H29" s="9">
        <v>38807</v>
      </c>
      <c r="K29" s="3">
        <f>COUNTIF($B$4:$B$154,B29)</f>
        <v>1</v>
      </c>
      <c r="L29" s="3">
        <f>COUNTIF($E$4:$E$154,E29)</f>
        <v>1</v>
      </c>
      <c r="Q29" s="5"/>
    </row>
    <row r="30" spans="2:17" ht="21.95" customHeight="1" x14ac:dyDescent="0.3">
      <c r="B30" s="6">
        <f t="shared" si="0"/>
        <v>27</v>
      </c>
      <c r="C30" s="19"/>
      <c r="D30" s="7" t="s">
        <v>126</v>
      </c>
      <c r="E30" s="8" t="s">
        <v>67</v>
      </c>
      <c r="F30" s="6" t="s">
        <v>40</v>
      </c>
      <c r="G30" s="9">
        <v>45107</v>
      </c>
      <c r="H30" s="9">
        <v>44927</v>
      </c>
      <c r="K30" s="3">
        <f>COUNTIF($B$4:$B$154,B30)</f>
        <v>1</v>
      </c>
      <c r="L30" s="3">
        <f>COUNTIF($E$4:$E$154,E30)</f>
        <v>1</v>
      </c>
      <c r="Q30" s="5"/>
    </row>
    <row r="31" spans="2:17" ht="21.95" customHeight="1" x14ac:dyDescent="0.3">
      <c r="B31" s="6">
        <f t="shared" si="0"/>
        <v>28</v>
      </c>
      <c r="C31" s="19"/>
      <c r="D31" s="7" t="s">
        <v>127</v>
      </c>
      <c r="E31" s="8" t="s">
        <v>179</v>
      </c>
      <c r="F31" s="6" t="s">
        <v>40</v>
      </c>
      <c r="G31" s="9">
        <v>45589</v>
      </c>
      <c r="H31" s="9">
        <v>42671</v>
      </c>
      <c r="K31" s="3">
        <f>COUNTIF($B$4:$B$154,B31)</f>
        <v>1</v>
      </c>
      <c r="L31" s="3">
        <f>COUNTIF($E$4:$E$154,E31)</f>
        <v>1</v>
      </c>
      <c r="Q31" s="5"/>
    </row>
    <row r="32" spans="2:17" ht="21.95" customHeight="1" x14ac:dyDescent="0.3">
      <c r="B32" s="6">
        <f t="shared" si="0"/>
        <v>29</v>
      </c>
      <c r="C32" s="19" t="s">
        <v>47</v>
      </c>
      <c r="D32" s="7" t="s">
        <v>128</v>
      </c>
      <c r="E32" s="8" t="s">
        <v>68</v>
      </c>
      <c r="F32" s="6" t="s">
        <v>40</v>
      </c>
      <c r="G32" s="9">
        <v>44197</v>
      </c>
      <c r="H32" s="9">
        <v>41611</v>
      </c>
      <c r="K32" s="3">
        <f>COUNTIF($B$4:$B$154,B32)</f>
        <v>1</v>
      </c>
      <c r="L32" s="3">
        <f>COUNTIF($E$4:$E$154,E32)</f>
        <v>1</v>
      </c>
      <c r="Q32" s="5"/>
    </row>
    <row r="33" spans="2:17" ht="21.95" customHeight="1" x14ac:dyDescent="0.3">
      <c r="B33" s="6">
        <f t="shared" si="0"/>
        <v>30</v>
      </c>
      <c r="C33" s="19"/>
      <c r="D33" s="7" t="s">
        <v>135</v>
      </c>
      <c r="E33" s="8" t="s">
        <v>180</v>
      </c>
      <c r="F33" s="6" t="s">
        <v>40</v>
      </c>
      <c r="G33" s="9">
        <v>46034</v>
      </c>
      <c r="H33" s="9">
        <v>36442</v>
      </c>
      <c r="K33" s="3">
        <f>COUNTIF($B$4:$B$154,B33)</f>
        <v>1</v>
      </c>
      <c r="L33" s="3">
        <f>COUNTIF($E$4:$E$154,E33)</f>
        <v>1</v>
      </c>
      <c r="Q33" s="5"/>
    </row>
    <row r="34" spans="2:17" ht="21.95" customHeight="1" x14ac:dyDescent="0.3">
      <c r="B34" s="6">
        <f t="shared" si="0"/>
        <v>31</v>
      </c>
      <c r="C34" s="19"/>
      <c r="D34" s="7" t="s">
        <v>136</v>
      </c>
      <c r="E34" s="8" t="s">
        <v>69</v>
      </c>
      <c r="F34" s="6" t="s">
        <v>40</v>
      </c>
      <c r="G34" s="9">
        <v>44251</v>
      </c>
      <c r="H34" s="9">
        <v>39931</v>
      </c>
      <c r="K34" s="3">
        <f>COUNTIF($B$4:$B$154,B34)</f>
        <v>1</v>
      </c>
      <c r="L34" s="3">
        <f>COUNTIF($E$4:$E$154,E34)</f>
        <v>1</v>
      </c>
      <c r="Q34" s="5"/>
    </row>
    <row r="35" spans="2:17" ht="21.95" customHeight="1" x14ac:dyDescent="0.3">
      <c r="B35" s="6">
        <f t="shared" si="0"/>
        <v>32</v>
      </c>
      <c r="C35" s="19"/>
      <c r="D35" s="7" t="s">
        <v>137</v>
      </c>
      <c r="E35" s="8" t="s">
        <v>70</v>
      </c>
      <c r="F35" s="6" t="s">
        <v>40</v>
      </c>
      <c r="G35" s="9">
        <v>40207</v>
      </c>
      <c r="H35" s="9">
        <v>36442</v>
      </c>
      <c r="K35" s="3">
        <f>COUNTIF($B$4:$B$154,B35)</f>
        <v>1</v>
      </c>
      <c r="L35" s="3">
        <f>COUNTIF($E$4:$E$154,E35)</f>
        <v>1</v>
      </c>
      <c r="Q35" s="5"/>
    </row>
    <row r="36" spans="2:17" ht="21.95" customHeight="1" x14ac:dyDescent="0.3">
      <c r="B36" s="6">
        <f t="shared" si="0"/>
        <v>33</v>
      </c>
      <c r="C36" s="19"/>
      <c r="D36" s="7" t="s">
        <v>138</v>
      </c>
      <c r="E36" s="8" t="s">
        <v>71</v>
      </c>
      <c r="F36" s="6" t="s">
        <v>40</v>
      </c>
      <c r="G36" s="9">
        <v>46015</v>
      </c>
      <c r="H36" s="9">
        <v>36442</v>
      </c>
      <c r="K36" s="3">
        <f>COUNTIF($B$4:$B$154,B36)</f>
        <v>1</v>
      </c>
      <c r="L36" s="3">
        <f>COUNTIF($E$4:$E$154,E36)</f>
        <v>1</v>
      </c>
      <c r="Q36" s="5"/>
    </row>
    <row r="37" spans="2:17" ht="21.95" customHeight="1" x14ac:dyDescent="0.3">
      <c r="B37" s="6">
        <f t="shared" si="0"/>
        <v>34</v>
      </c>
      <c r="C37" s="19"/>
      <c r="D37" s="7" t="s">
        <v>139</v>
      </c>
      <c r="E37" s="8" t="s">
        <v>72</v>
      </c>
      <c r="F37" s="6" t="s">
        <v>40</v>
      </c>
      <c r="G37" s="9">
        <v>43618</v>
      </c>
      <c r="H37" s="9">
        <v>39931</v>
      </c>
      <c r="K37" s="3">
        <f>COUNTIF($B$4:$B$154,B37)</f>
        <v>1</v>
      </c>
      <c r="L37" s="3">
        <f>COUNTIF($E$4:$E$154,E37)</f>
        <v>1</v>
      </c>
      <c r="Q37" s="5"/>
    </row>
    <row r="38" spans="2:17" ht="21.95" customHeight="1" x14ac:dyDescent="0.3">
      <c r="B38" s="6">
        <f t="shared" si="0"/>
        <v>35</v>
      </c>
      <c r="C38" s="19"/>
      <c r="D38" s="7" t="s">
        <v>140</v>
      </c>
      <c r="E38" s="8" t="s">
        <v>73</v>
      </c>
      <c r="F38" s="6" t="s">
        <v>40</v>
      </c>
      <c r="G38" s="9">
        <v>45679</v>
      </c>
      <c r="H38" s="9">
        <v>36442</v>
      </c>
      <c r="K38" s="3">
        <f>COUNTIF($B$4:$B$154,B38)</f>
        <v>1</v>
      </c>
      <c r="L38" s="3">
        <f>COUNTIF($E$4:$E$154,E38)</f>
        <v>1</v>
      </c>
      <c r="Q38" s="5"/>
    </row>
    <row r="39" spans="2:17" ht="21.95" customHeight="1" x14ac:dyDescent="0.3">
      <c r="B39" s="6">
        <f t="shared" si="0"/>
        <v>36</v>
      </c>
      <c r="C39" s="19"/>
      <c r="D39" s="7" t="s">
        <v>141</v>
      </c>
      <c r="E39" s="8" t="s">
        <v>74</v>
      </c>
      <c r="F39" s="6" t="s">
        <v>40</v>
      </c>
      <c r="G39" s="9">
        <v>45721</v>
      </c>
      <c r="H39" s="9">
        <v>36442</v>
      </c>
      <c r="K39" s="3">
        <f>COUNTIF($B$4:$B$154,B39)</f>
        <v>1</v>
      </c>
      <c r="L39" s="3">
        <f>COUNTIF($E$4:$E$154,E39)</f>
        <v>1</v>
      </c>
      <c r="Q39" s="5"/>
    </row>
    <row r="40" spans="2:17" ht="21.95" customHeight="1" x14ac:dyDescent="0.3">
      <c r="B40" s="6">
        <f t="shared" si="0"/>
        <v>37</v>
      </c>
      <c r="C40" s="19"/>
      <c r="D40" s="7" t="s">
        <v>142</v>
      </c>
      <c r="E40" s="8" t="s">
        <v>75</v>
      </c>
      <c r="F40" s="6" t="s">
        <v>40</v>
      </c>
      <c r="G40" s="9">
        <v>44768</v>
      </c>
      <c r="H40" s="9">
        <v>36442</v>
      </c>
      <c r="K40" s="3">
        <f>COUNTIF($B$4:$B$154,B40)</f>
        <v>1</v>
      </c>
      <c r="L40" s="3">
        <f>COUNTIF($E$4:$E$154,E40)</f>
        <v>1</v>
      </c>
      <c r="Q40" s="5"/>
    </row>
    <row r="41" spans="2:17" ht="21.95" customHeight="1" x14ac:dyDescent="0.3">
      <c r="B41" s="6">
        <f t="shared" si="0"/>
        <v>38</v>
      </c>
      <c r="C41" s="19"/>
      <c r="D41" s="7" t="s">
        <v>129</v>
      </c>
      <c r="E41" s="8" t="s">
        <v>76</v>
      </c>
      <c r="F41" s="6" t="s">
        <v>40</v>
      </c>
      <c r="G41" s="9">
        <v>45721</v>
      </c>
      <c r="H41" s="9">
        <v>36442</v>
      </c>
      <c r="K41" s="3">
        <f>COUNTIF($B$4:$B$154,B41)</f>
        <v>1</v>
      </c>
      <c r="L41" s="3">
        <f>COUNTIF($E$4:$E$154,E41)</f>
        <v>1</v>
      </c>
      <c r="Q41" s="5"/>
    </row>
    <row r="42" spans="2:17" ht="21.95" customHeight="1" x14ac:dyDescent="0.3">
      <c r="B42" s="6">
        <f t="shared" si="0"/>
        <v>39</v>
      </c>
      <c r="C42" s="19"/>
      <c r="D42" s="7" t="s">
        <v>130</v>
      </c>
      <c r="E42" s="8" t="s">
        <v>77</v>
      </c>
      <c r="F42" s="6" t="s">
        <v>40</v>
      </c>
      <c r="G42" s="9">
        <v>45679</v>
      </c>
      <c r="H42" s="9">
        <v>36689</v>
      </c>
      <c r="K42" s="3">
        <f>COUNTIF($B$4:$B$154,B42)</f>
        <v>1</v>
      </c>
      <c r="L42" s="3">
        <f>COUNTIF($E$4:$E$154,E42)</f>
        <v>1</v>
      </c>
      <c r="Q42" s="5"/>
    </row>
    <row r="43" spans="2:17" ht="21.95" customHeight="1" x14ac:dyDescent="0.3">
      <c r="B43" s="6">
        <f t="shared" si="0"/>
        <v>40</v>
      </c>
      <c r="C43" s="19"/>
      <c r="D43" s="7" t="s">
        <v>131</v>
      </c>
      <c r="E43" s="8" t="s">
        <v>78</v>
      </c>
      <c r="F43" s="6" t="s">
        <v>40</v>
      </c>
      <c r="G43" s="9">
        <v>45768</v>
      </c>
      <c r="H43" s="9">
        <v>36442</v>
      </c>
      <c r="K43" s="3">
        <f>COUNTIF($B$4:$B$154,B43)</f>
        <v>1</v>
      </c>
      <c r="L43" s="3">
        <f>COUNTIF($E$4:$E$154,E43)</f>
        <v>1</v>
      </c>
      <c r="Q43" s="5"/>
    </row>
    <row r="44" spans="2:17" ht="21.95" customHeight="1" x14ac:dyDescent="0.3">
      <c r="B44" s="6">
        <f t="shared" si="0"/>
        <v>41</v>
      </c>
      <c r="C44" s="19"/>
      <c r="D44" s="7" t="s">
        <v>132</v>
      </c>
      <c r="E44" s="8" t="s">
        <v>79</v>
      </c>
      <c r="F44" s="6" t="s">
        <v>40</v>
      </c>
      <c r="G44" s="9">
        <v>46034</v>
      </c>
      <c r="H44" s="9">
        <v>42489</v>
      </c>
      <c r="K44" s="3">
        <f>COUNTIF($B$4:$B$154,B44)</f>
        <v>1</v>
      </c>
      <c r="L44" s="3">
        <f>COUNTIF($E$4:$E$154,E44)</f>
        <v>1</v>
      </c>
      <c r="Q44" s="5"/>
    </row>
    <row r="45" spans="2:17" ht="21.95" customHeight="1" x14ac:dyDescent="0.3">
      <c r="B45" s="6">
        <f t="shared" si="0"/>
        <v>42</v>
      </c>
      <c r="C45" s="19"/>
      <c r="D45" s="7" t="s">
        <v>133</v>
      </c>
      <c r="E45" s="8" t="s">
        <v>80</v>
      </c>
      <c r="F45" s="6" t="s">
        <v>40</v>
      </c>
      <c r="G45" s="9">
        <v>45536</v>
      </c>
      <c r="H45" s="9">
        <v>37714</v>
      </c>
      <c r="K45" s="3">
        <f>COUNTIF($B$4:$B$154,B45)</f>
        <v>1</v>
      </c>
      <c r="L45" s="3">
        <f>COUNTIF($E$4:$E$154,E45)</f>
        <v>1</v>
      </c>
      <c r="Q45" s="5"/>
    </row>
    <row r="46" spans="2:17" ht="21.95" customHeight="1" x14ac:dyDescent="0.3">
      <c r="B46" s="6">
        <f t="shared" si="0"/>
        <v>43</v>
      </c>
      <c r="C46" s="19"/>
      <c r="D46" s="7" t="s">
        <v>134</v>
      </c>
      <c r="E46" s="8" t="s">
        <v>81</v>
      </c>
      <c r="F46" s="6" t="s">
        <v>40</v>
      </c>
      <c r="G46" s="9">
        <v>45536</v>
      </c>
      <c r="H46" s="9">
        <v>41122</v>
      </c>
      <c r="K46" s="3">
        <f>COUNTIF($B$4:$B$154,B46)</f>
        <v>1</v>
      </c>
      <c r="L46" s="3">
        <f>COUNTIF($E$4:$E$154,E46)</f>
        <v>1</v>
      </c>
      <c r="Q46" s="5"/>
    </row>
    <row r="47" spans="2:17" ht="21.95" customHeight="1" x14ac:dyDescent="0.3">
      <c r="B47" s="6">
        <f t="shared" si="0"/>
        <v>44</v>
      </c>
      <c r="C47" s="19"/>
      <c r="D47" s="7" t="s">
        <v>202</v>
      </c>
      <c r="E47" s="8" t="s">
        <v>203</v>
      </c>
      <c r="F47" s="6" t="s">
        <v>40</v>
      </c>
      <c r="G47" s="9"/>
      <c r="H47" s="9">
        <v>46020</v>
      </c>
      <c r="K47" s="3">
        <f>COUNTIF($B$4:$B$154,B47)</f>
        <v>1</v>
      </c>
      <c r="L47" s="3">
        <f>COUNTIF($E$4:$E$154,E47)</f>
        <v>1</v>
      </c>
      <c r="Q47" s="5"/>
    </row>
    <row r="48" spans="2:17" ht="21.95" customHeight="1" x14ac:dyDescent="0.3">
      <c r="B48" s="6">
        <f t="shared" si="0"/>
        <v>45</v>
      </c>
      <c r="C48" s="19" t="s">
        <v>48</v>
      </c>
      <c r="D48" s="7" t="s">
        <v>143</v>
      </c>
      <c r="E48" s="8" t="s">
        <v>18</v>
      </c>
      <c r="F48" s="6" t="s">
        <v>40</v>
      </c>
      <c r="G48" s="9">
        <v>45629</v>
      </c>
      <c r="H48" s="9">
        <v>36442</v>
      </c>
      <c r="K48" s="3">
        <f>COUNTIF($B$4:$B$154,B48)</f>
        <v>1</v>
      </c>
      <c r="L48" s="3">
        <f>COUNTIF($E$4:$E$154,E48)</f>
        <v>1</v>
      </c>
      <c r="Q48" s="5"/>
    </row>
    <row r="49" spans="2:17" ht="21.95" customHeight="1" x14ac:dyDescent="0.3">
      <c r="B49" s="6">
        <f t="shared" si="0"/>
        <v>46</v>
      </c>
      <c r="C49" s="19"/>
      <c r="D49" s="7" t="s">
        <v>144</v>
      </c>
      <c r="E49" s="8" t="s">
        <v>1</v>
      </c>
      <c r="F49" s="6" t="s">
        <v>40</v>
      </c>
      <c r="G49" s="9">
        <v>45721</v>
      </c>
      <c r="H49" s="9">
        <v>36442</v>
      </c>
      <c r="K49" s="3">
        <f>COUNTIF($B$4:$B$154,B49)</f>
        <v>1</v>
      </c>
      <c r="L49" s="3">
        <f>COUNTIF($E$4:$E$154,E49)</f>
        <v>1</v>
      </c>
      <c r="Q49" s="5"/>
    </row>
    <row r="50" spans="2:17" ht="21.95" customHeight="1" x14ac:dyDescent="0.3">
      <c r="B50" s="6">
        <f t="shared" si="0"/>
        <v>47</v>
      </c>
      <c r="C50" s="19"/>
      <c r="D50" s="7" t="s">
        <v>145</v>
      </c>
      <c r="E50" s="8" t="s">
        <v>3</v>
      </c>
      <c r="F50" s="6" t="s">
        <v>40</v>
      </c>
      <c r="G50" s="9">
        <v>44796</v>
      </c>
      <c r="H50" s="9">
        <v>36442</v>
      </c>
      <c r="K50" s="3">
        <f>COUNTIF($B$4:$B$154,B50)</f>
        <v>1</v>
      </c>
      <c r="L50" s="3">
        <f>COUNTIF($E$4:$E$154,E50)</f>
        <v>1</v>
      </c>
      <c r="Q50" s="5"/>
    </row>
    <row r="51" spans="2:17" ht="21.95" customHeight="1" x14ac:dyDescent="0.3">
      <c r="B51" s="6">
        <f t="shared" si="0"/>
        <v>48</v>
      </c>
      <c r="C51" s="19"/>
      <c r="D51" s="7" t="s">
        <v>146</v>
      </c>
      <c r="E51" s="8" t="s">
        <v>2</v>
      </c>
      <c r="F51" s="6" t="s">
        <v>205</v>
      </c>
      <c r="G51" s="9">
        <v>38705</v>
      </c>
      <c r="H51" s="9">
        <v>38705</v>
      </c>
      <c r="K51" s="3">
        <f>COUNTIF($B$4:$B$154,B51)</f>
        <v>1</v>
      </c>
      <c r="L51" s="3">
        <f>COUNTIF($E$4:$E$154,E51)</f>
        <v>1</v>
      </c>
      <c r="Q51" s="5"/>
    </row>
    <row r="52" spans="2:17" ht="21.95" customHeight="1" x14ac:dyDescent="0.3">
      <c r="B52" s="6">
        <f t="shared" si="0"/>
        <v>49</v>
      </c>
      <c r="C52" s="19"/>
      <c r="D52" s="7" t="s">
        <v>147</v>
      </c>
      <c r="E52" s="8" t="s">
        <v>7</v>
      </c>
      <c r="F52" s="6" t="s">
        <v>40</v>
      </c>
      <c r="G52" s="9">
        <v>45085</v>
      </c>
      <c r="H52" s="9">
        <v>37047</v>
      </c>
      <c r="K52" s="3">
        <f>COUNTIF($B$4:$B$154,B52)</f>
        <v>1</v>
      </c>
      <c r="L52" s="3">
        <f>COUNTIF($E$4:$E$154,E52)</f>
        <v>1</v>
      </c>
      <c r="Q52" s="5"/>
    </row>
    <row r="53" spans="2:17" ht="21.95" customHeight="1" x14ac:dyDescent="0.3">
      <c r="B53" s="6">
        <f t="shared" si="0"/>
        <v>50</v>
      </c>
      <c r="C53" s="19"/>
      <c r="D53" s="7" t="s">
        <v>148</v>
      </c>
      <c r="E53" s="8" t="s">
        <v>12</v>
      </c>
      <c r="F53" s="6" t="s">
        <v>40</v>
      </c>
      <c r="G53" s="9">
        <v>45868</v>
      </c>
      <c r="H53" s="9">
        <v>42794</v>
      </c>
      <c r="K53" s="3">
        <f>COUNTIF($B$4:$B$154,B53)</f>
        <v>1</v>
      </c>
      <c r="L53" s="3">
        <f>COUNTIF($E$4:$E$154,E53)</f>
        <v>1</v>
      </c>
      <c r="Q53" s="5"/>
    </row>
    <row r="54" spans="2:17" ht="21.95" customHeight="1" x14ac:dyDescent="0.3">
      <c r="B54" s="6">
        <f t="shared" si="0"/>
        <v>51</v>
      </c>
      <c r="C54" s="19"/>
      <c r="D54" s="7" t="s">
        <v>149</v>
      </c>
      <c r="E54" s="8" t="s">
        <v>181</v>
      </c>
      <c r="F54" s="6" t="s">
        <v>40</v>
      </c>
      <c r="G54" s="9">
        <v>45645</v>
      </c>
      <c r="H54" s="9">
        <v>44189</v>
      </c>
      <c r="K54" s="3">
        <f>COUNTIF($B$4:$B$154,B54)</f>
        <v>1</v>
      </c>
      <c r="L54" s="3">
        <f>COUNTIF($E$4:$E$154,E54)</f>
        <v>1</v>
      </c>
      <c r="Q54" s="5"/>
    </row>
    <row r="55" spans="2:17" ht="21.95" customHeight="1" x14ac:dyDescent="0.3">
      <c r="B55" s="6">
        <f t="shared" si="0"/>
        <v>52</v>
      </c>
      <c r="C55" s="16" t="s">
        <v>49</v>
      </c>
      <c r="D55" s="7" t="s">
        <v>150</v>
      </c>
      <c r="E55" s="8" t="s">
        <v>4</v>
      </c>
      <c r="F55" s="6" t="s">
        <v>205</v>
      </c>
      <c r="G55" s="9">
        <v>45086</v>
      </c>
      <c r="H55" s="9">
        <v>36442</v>
      </c>
      <c r="K55" s="3">
        <f>COUNTIF($B$4:$B$154,B55)</f>
        <v>1</v>
      </c>
      <c r="L55" s="3">
        <f>COUNTIF($E$4:$E$154,E55)</f>
        <v>1</v>
      </c>
      <c r="Q55" s="5"/>
    </row>
    <row r="56" spans="2:17" ht="21.95" customHeight="1" x14ac:dyDescent="0.3">
      <c r="B56" s="6">
        <f t="shared" si="0"/>
        <v>53</v>
      </c>
      <c r="C56" s="17"/>
      <c r="D56" s="7" t="s">
        <v>152</v>
      </c>
      <c r="E56" s="8" t="s">
        <v>182</v>
      </c>
      <c r="F56" s="6" t="s">
        <v>206</v>
      </c>
      <c r="G56" s="9">
        <v>44927</v>
      </c>
      <c r="H56" s="9">
        <v>40266</v>
      </c>
      <c r="K56" s="3">
        <f>COUNTIF($B$4:$B$154,B56)</f>
        <v>1</v>
      </c>
      <c r="L56" s="3">
        <f>COUNTIF($E$4:$E$154,E56)</f>
        <v>1</v>
      </c>
      <c r="Q56" s="5"/>
    </row>
    <row r="57" spans="2:17" ht="21.95" customHeight="1" x14ac:dyDescent="0.3">
      <c r="B57" s="6">
        <f t="shared" si="0"/>
        <v>54</v>
      </c>
      <c r="C57" s="17"/>
      <c r="D57" s="7" t="s">
        <v>153</v>
      </c>
      <c r="E57" s="8" t="s">
        <v>82</v>
      </c>
      <c r="F57" s="6" t="s">
        <v>206</v>
      </c>
      <c r="G57" s="9">
        <v>46023</v>
      </c>
      <c r="H57" s="9">
        <v>45323</v>
      </c>
      <c r="K57" s="3">
        <f>COUNTIF($B$4:$B$154,B57)</f>
        <v>1</v>
      </c>
      <c r="L57" s="3">
        <f>COUNTIF($E$4:$E$154,E57)</f>
        <v>1</v>
      </c>
      <c r="Q57" s="5"/>
    </row>
    <row r="58" spans="2:17" ht="21.95" customHeight="1" x14ac:dyDescent="0.3">
      <c r="B58" s="6">
        <f t="shared" si="0"/>
        <v>55</v>
      </c>
      <c r="C58" s="17"/>
      <c r="D58" s="7" t="s">
        <v>154</v>
      </c>
      <c r="E58" s="8" t="s">
        <v>5</v>
      </c>
      <c r="F58" s="6" t="s">
        <v>205</v>
      </c>
      <c r="G58" s="9">
        <v>43819</v>
      </c>
      <c r="H58" s="9">
        <v>36689</v>
      </c>
      <c r="K58" s="3">
        <f>COUNTIF($B$4:$B$154,B58)</f>
        <v>1</v>
      </c>
      <c r="L58" s="3">
        <f>COUNTIF($E$4:$E$154,E58)</f>
        <v>1</v>
      </c>
      <c r="Q58" s="5"/>
    </row>
    <row r="59" spans="2:17" ht="21.95" customHeight="1" x14ac:dyDescent="0.3">
      <c r="B59" s="6">
        <f t="shared" si="0"/>
        <v>56</v>
      </c>
      <c r="C59" s="17"/>
      <c r="D59" s="7" t="s">
        <v>155</v>
      </c>
      <c r="E59" s="8" t="s">
        <v>38</v>
      </c>
      <c r="F59" s="6" t="s">
        <v>206</v>
      </c>
      <c r="G59" s="9">
        <v>45736</v>
      </c>
      <c r="H59" s="9">
        <v>40144</v>
      </c>
      <c r="K59" s="3">
        <f>COUNTIF($B$4:$B$154,B59)</f>
        <v>1</v>
      </c>
      <c r="L59" s="3">
        <f>COUNTIF($E$4:$E$154,E59)</f>
        <v>1</v>
      </c>
      <c r="Q59" s="5"/>
    </row>
    <row r="60" spans="2:17" ht="21.95" customHeight="1" x14ac:dyDescent="0.3">
      <c r="B60" s="6">
        <f t="shared" si="0"/>
        <v>57</v>
      </c>
      <c r="C60" s="17"/>
      <c r="D60" s="7" t="s">
        <v>156</v>
      </c>
      <c r="E60" s="8" t="s">
        <v>36</v>
      </c>
      <c r="F60" s="6" t="s">
        <v>206</v>
      </c>
      <c r="G60" s="9">
        <v>45736</v>
      </c>
      <c r="H60" s="9">
        <v>44477</v>
      </c>
      <c r="K60" s="3">
        <f>COUNTIF($B$4:$B$154,B60)</f>
        <v>1</v>
      </c>
      <c r="L60" s="3">
        <f>COUNTIF($E$4:$E$154,E60)</f>
        <v>1</v>
      </c>
      <c r="Q60" s="5"/>
    </row>
    <row r="61" spans="2:17" ht="21.95" customHeight="1" x14ac:dyDescent="0.3">
      <c r="B61" s="6">
        <f t="shared" si="0"/>
        <v>58</v>
      </c>
      <c r="C61" s="17"/>
      <c r="D61" s="7" t="s">
        <v>157</v>
      </c>
      <c r="E61" s="8" t="s">
        <v>83</v>
      </c>
      <c r="F61" s="6" t="s">
        <v>206</v>
      </c>
      <c r="G61" s="9">
        <v>46023</v>
      </c>
      <c r="H61" s="9">
        <v>45352</v>
      </c>
      <c r="K61" s="3">
        <f>COUNTIF($B$4:$B$154,B61)</f>
        <v>1</v>
      </c>
      <c r="L61" s="3">
        <f>COUNTIF($E$4:$E$154,E61)</f>
        <v>1</v>
      </c>
      <c r="Q61" s="5"/>
    </row>
    <row r="62" spans="2:17" ht="21.95" customHeight="1" x14ac:dyDescent="0.3">
      <c r="B62" s="6">
        <f t="shared" si="0"/>
        <v>59</v>
      </c>
      <c r="C62" s="17"/>
      <c r="D62" s="7" t="s">
        <v>158</v>
      </c>
      <c r="E62" s="8" t="s">
        <v>84</v>
      </c>
      <c r="F62" s="6" t="s">
        <v>206</v>
      </c>
      <c r="G62" s="9">
        <v>45352</v>
      </c>
      <c r="H62" s="9">
        <v>45352</v>
      </c>
      <c r="K62" s="3">
        <f>COUNTIF($B$4:$B$154,B62)</f>
        <v>1</v>
      </c>
      <c r="L62" s="3">
        <f>COUNTIF($E$4:$E$154,E62)</f>
        <v>1</v>
      </c>
      <c r="Q62" s="5"/>
    </row>
    <row r="63" spans="2:17" ht="21.95" customHeight="1" x14ac:dyDescent="0.3">
      <c r="B63" s="6">
        <f t="shared" si="0"/>
        <v>60</v>
      </c>
      <c r="C63" s="17"/>
      <c r="D63" s="7" t="s">
        <v>159</v>
      </c>
      <c r="E63" s="8" t="s">
        <v>85</v>
      </c>
      <c r="F63" s="6" t="s">
        <v>206</v>
      </c>
      <c r="G63" s="9">
        <v>46023</v>
      </c>
      <c r="H63" s="9">
        <v>45352</v>
      </c>
      <c r="K63" s="3">
        <f>COUNTIF($B$4:$B$154,B63)</f>
        <v>1</v>
      </c>
      <c r="L63" s="3">
        <f>COUNTIF($E$4:$E$154,E63)</f>
        <v>1</v>
      </c>
      <c r="Q63" s="5"/>
    </row>
    <row r="64" spans="2:17" ht="21.95" customHeight="1" x14ac:dyDescent="0.3">
      <c r="B64" s="6">
        <f t="shared" si="0"/>
        <v>61</v>
      </c>
      <c r="C64" s="17"/>
      <c r="D64" s="7" t="s">
        <v>151</v>
      </c>
      <c r="E64" s="8" t="s">
        <v>183</v>
      </c>
      <c r="F64" s="6" t="s">
        <v>206</v>
      </c>
      <c r="G64" s="9">
        <v>44770</v>
      </c>
      <c r="H64" s="9">
        <v>42674</v>
      </c>
      <c r="K64" s="3">
        <f>COUNTIF($B$4:$B$154,B64)</f>
        <v>1</v>
      </c>
      <c r="L64" s="3">
        <f>COUNTIF($E$4:$E$154,E64)</f>
        <v>1</v>
      </c>
      <c r="Q64" s="5"/>
    </row>
    <row r="65" spans="2:17" ht="21.95" customHeight="1" x14ac:dyDescent="0.3">
      <c r="B65" s="6">
        <f t="shared" si="0"/>
        <v>62</v>
      </c>
      <c r="C65" s="17"/>
      <c r="D65" s="11" t="s">
        <v>192</v>
      </c>
      <c r="E65" s="12" t="s">
        <v>193</v>
      </c>
      <c r="F65" s="13" t="s">
        <v>206</v>
      </c>
      <c r="G65" s="15">
        <v>46054</v>
      </c>
      <c r="H65" s="14">
        <v>41331</v>
      </c>
      <c r="K65" s="3">
        <f>COUNTIF($B$4:$B$154,B65)</f>
        <v>1</v>
      </c>
      <c r="L65" s="3">
        <f>COUNTIF($E$4:$E$154,E65)</f>
        <v>1</v>
      </c>
      <c r="Q65" s="5"/>
    </row>
    <row r="66" spans="2:17" ht="21.95" customHeight="1" x14ac:dyDescent="0.3">
      <c r="B66" s="6">
        <f t="shared" ref="B66" si="1">ROW(C66)-3</f>
        <v>63</v>
      </c>
      <c r="C66" s="17"/>
      <c r="D66" s="7" t="s">
        <v>199</v>
      </c>
      <c r="E66" s="8" t="s">
        <v>200</v>
      </c>
      <c r="F66" s="6" t="s">
        <v>207</v>
      </c>
      <c r="G66" s="9"/>
      <c r="H66" s="9">
        <v>45931</v>
      </c>
      <c r="K66" s="3">
        <f>COUNTIF($B$4:$B$154,B67)</f>
        <v>1</v>
      </c>
      <c r="L66" s="3">
        <f>COUNTIF($E$4:$E$154,E67)</f>
        <v>1</v>
      </c>
      <c r="Q66" s="5"/>
    </row>
    <row r="67" spans="2:17" ht="21.95" customHeight="1" x14ac:dyDescent="0.3">
      <c r="B67" s="6">
        <f t="shared" si="0"/>
        <v>64</v>
      </c>
      <c r="C67" s="18"/>
      <c r="D67" s="25" t="s">
        <v>212</v>
      </c>
      <c r="E67" s="26" t="s">
        <v>213</v>
      </c>
      <c r="F67" s="27" t="s">
        <v>207</v>
      </c>
      <c r="G67" s="15"/>
      <c r="H67" s="15">
        <v>46063</v>
      </c>
      <c r="K67" s="3">
        <f>COUNTIF($B$4:$B$154,B68)</f>
        <v>1</v>
      </c>
      <c r="L67" s="3">
        <f>COUNTIF($E$4:$E$154,E68)</f>
        <v>1</v>
      </c>
      <c r="Q67" s="5"/>
    </row>
    <row r="68" spans="2:17" ht="21.95" customHeight="1" x14ac:dyDescent="0.3">
      <c r="B68" s="6">
        <f t="shared" si="0"/>
        <v>65</v>
      </c>
      <c r="C68" s="19" t="s">
        <v>50</v>
      </c>
      <c r="D68" s="7" t="s">
        <v>160</v>
      </c>
      <c r="E68" s="8" t="s">
        <v>31</v>
      </c>
      <c r="F68" s="6" t="s">
        <v>206</v>
      </c>
      <c r="G68" s="9">
        <v>45748</v>
      </c>
      <c r="H68" s="9">
        <v>36442</v>
      </c>
      <c r="K68" s="3">
        <f>COUNTIF($B$4:$B$154,B69)</f>
        <v>1</v>
      </c>
      <c r="L68" s="3">
        <f>COUNTIF($E$4:$E$154,E69)</f>
        <v>1</v>
      </c>
      <c r="Q68" s="5"/>
    </row>
    <row r="69" spans="2:17" ht="21.95" customHeight="1" x14ac:dyDescent="0.3">
      <c r="B69" s="6">
        <f t="shared" si="0"/>
        <v>66</v>
      </c>
      <c r="C69" s="19"/>
      <c r="D69" s="7" t="s">
        <v>161</v>
      </c>
      <c r="E69" s="8" t="s">
        <v>32</v>
      </c>
      <c r="F69" s="6" t="s">
        <v>44</v>
      </c>
      <c r="G69" s="9">
        <v>42681</v>
      </c>
      <c r="H69" s="9">
        <v>39210</v>
      </c>
      <c r="K69" s="3">
        <f>COUNTIF($B$4:$B$154,B70)</f>
        <v>1</v>
      </c>
      <c r="L69" s="3">
        <f>COUNTIF($E$4:$E$154,E70)</f>
        <v>1</v>
      </c>
      <c r="Q69" s="5"/>
    </row>
    <row r="70" spans="2:17" ht="21.95" customHeight="1" x14ac:dyDescent="0.3">
      <c r="B70" s="6">
        <f t="shared" ref="B70:B95" si="2">ROW(C70)-3</f>
        <v>67</v>
      </c>
      <c r="C70" s="19"/>
      <c r="D70" s="7" t="s">
        <v>208</v>
      </c>
      <c r="E70" s="8" t="s">
        <v>209</v>
      </c>
      <c r="F70" s="6" t="s">
        <v>210</v>
      </c>
      <c r="G70" s="9">
        <v>46023</v>
      </c>
      <c r="H70" s="9">
        <v>45078</v>
      </c>
      <c r="K70" s="3">
        <f>COUNTIF($B$4:$B$154,B71)</f>
        <v>1</v>
      </c>
      <c r="L70" s="3">
        <f>COUNTIF($E$4:$E$154,E71)</f>
        <v>1</v>
      </c>
      <c r="Q70" s="5"/>
    </row>
    <row r="71" spans="2:17" ht="21.95" customHeight="1" x14ac:dyDescent="0.3">
      <c r="B71" s="6">
        <f t="shared" si="2"/>
        <v>68</v>
      </c>
      <c r="C71" s="19"/>
      <c r="D71" s="7" t="s">
        <v>162</v>
      </c>
      <c r="E71" s="8" t="s">
        <v>185</v>
      </c>
      <c r="F71" s="6" t="s">
        <v>184</v>
      </c>
      <c r="G71" s="9">
        <v>44848</v>
      </c>
      <c r="H71" s="9">
        <v>44848</v>
      </c>
      <c r="K71" s="3">
        <f>COUNTIF($B$4:$B$154,B72)</f>
        <v>1</v>
      </c>
      <c r="L71" s="3">
        <f>COUNTIF($E$4:$E$154,E72)</f>
        <v>1</v>
      </c>
      <c r="Q71" s="5"/>
    </row>
    <row r="72" spans="2:17" ht="21.95" customHeight="1" x14ac:dyDescent="0.3">
      <c r="B72" s="6">
        <f t="shared" si="2"/>
        <v>69</v>
      </c>
      <c r="C72" s="19"/>
      <c r="D72" s="7" t="s">
        <v>163</v>
      </c>
      <c r="E72" s="8" t="s">
        <v>33</v>
      </c>
      <c r="F72" s="6" t="s">
        <v>201</v>
      </c>
      <c r="G72" s="9">
        <v>45454</v>
      </c>
      <c r="H72" s="9">
        <v>39065</v>
      </c>
      <c r="K72" s="3">
        <f>COUNTIF($B$4:$B$154,B73)</f>
        <v>1</v>
      </c>
      <c r="L72" s="3">
        <f>COUNTIF($E$4:$E$154,E73)</f>
        <v>1</v>
      </c>
      <c r="Q72" s="5"/>
    </row>
    <row r="73" spans="2:17" ht="21.95" customHeight="1" x14ac:dyDescent="0.3">
      <c r="B73" s="6">
        <f t="shared" si="2"/>
        <v>70</v>
      </c>
      <c r="C73" s="19"/>
      <c r="D73" s="7" t="s">
        <v>164</v>
      </c>
      <c r="E73" s="8" t="s">
        <v>34</v>
      </c>
      <c r="F73" s="6" t="s">
        <v>44</v>
      </c>
      <c r="G73" s="9">
        <v>45667</v>
      </c>
      <c r="H73" s="9">
        <v>37753</v>
      </c>
      <c r="K73" s="3">
        <f>COUNTIF($B$4:$B$154,B74)</f>
        <v>1</v>
      </c>
      <c r="L73" s="3">
        <f>COUNTIF($E$4:$E$154,E74)</f>
        <v>1</v>
      </c>
      <c r="Q73" s="5"/>
    </row>
    <row r="74" spans="2:17" ht="21.95" customHeight="1" x14ac:dyDescent="0.3">
      <c r="B74" s="6">
        <f t="shared" si="2"/>
        <v>71</v>
      </c>
      <c r="C74" s="19"/>
      <c r="D74" s="7" t="s">
        <v>165</v>
      </c>
      <c r="E74" s="8" t="s">
        <v>35</v>
      </c>
      <c r="F74" s="6" t="s">
        <v>44</v>
      </c>
      <c r="G74" s="9">
        <v>44769</v>
      </c>
      <c r="H74" s="9">
        <v>39710</v>
      </c>
      <c r="K74" s="3">
        <f>COUNTIF($B$4:$B$154,B75)</f>
        <v>1</v>
      </c>
      <c r="L74" s="3">
        <f>COUNTIF($E$4:$E$154,E75)</f>
        <v>1</v>
      </c>
      <c r="Q74" s="5"/>
    </row>
    <row r="75" spans="2:17" ht="21.95" customHeight="1" x14ac:dyDescent="0.3">
      <c r="B75" s="6">
        <f t="shared" si="2"/>
        <v>72</v>
      </c>
      <c r="C75" s="19"/>
      <c r="D75" s="7" t="s">
        <v>169</v>
      </c>
      <c r="E75" s="8" t="s">
        <v>186</v>
      </c>
      <c r="F75" s="6" t="s">
        <v>44</v>
      </c>
      <c r="G75" s="9">
        <v>45770</v>
      </c>
      <c r="H75" s="9">
        <v>45579</v>
      </c>
      <c r="K75" s="3">
        <f>COUNTIF($B$4:$B$154,B76)</f>
        <v>1</v>
      </c>
      <c r="L75" s="3">
        <f>COUNTIF($E$4:$E$154,E76)</f>
        <v>1</v>
      </c>
      <c r="Q75" s="5"/>
    </row>
    <row r="76" spans="2:17" ht="21.95" customHeight="1" x14ac:dyDescent="0.3">
      <c r="B76" s="6">
        <f t="shared" si="2"/>
        <v>73</v>
      </c>
      <c r="C76" s="19" t="s">
        <v>51</v>
      </c>
      <c r="D76" s="7" t="s">
        <v>89</v>
      </c>
      <c r="E76" s="8" t="s">
        <v>11</v>
      </c>
      <c r="F76" s="6" t="s">
        <v>40</v>
      </c>
      <c r="G76" s="9">
        <v>45107</v>
      </c>
      <c r="H76" s="9">
        <v>42657</v>
      </c>
      <c r="K76" s="3">
        <f>COUNTIF($B$4:$B$154,B77)</f>
        <v>1</v>
      </c>
      <c r="L76" s="3">
        <f>COUNTIF($E$4:$E$154,E77)</f>
        <v>1</v>
      </c>
      <c r="Q76" s="5"/>
    </row>
    <row r="77" spans="2:17" ht="21.95" customHeight="1" x14ac:dyDescent="0.3">
      <c r="B77" s="6">
        <f t="shared" si="2"/>
        <v>74</v>
      </c>
      <c r="C77" s="19"/>
      <c r="D77" s="7" t="s">
        <v>90</v>
      </c>
      <c r="E77" s="8" t="s">
        <v>9</v>
      </c>
      <c r="F77" s="6" t="s">
        <v>40</v>
      </c>
      <c r="G77" s="9">
        <v>40512</v>
      </c>
      <c r="H77" s="9">
        <v>40512</v>
      </c>
      <c r="K77" s="3">
        <f>COUNTIF($B$4:$B$154,B78)</f>
        <v>1</v>
      </c>
      <c r="L77" s="3">
        <f>COUNTIF($E$4:$E$154,E78)</f>
        <v>1</v>
      </c>
      <c r="Q77" s="5"/>
    </row>
    <row r="78" spans="2:17" ht="21.95" customHeight="1" x14ac:dyDescent="0.3">
      <c r="B78" s="6">
        <f t="shared" si="2"/>
        <v>75</v>
      </c>
      <c r="C78" s="19"/>
      <c r="D78" s="7" t="s">
        <v>91</v>
      </c>
      <c r="E78" s="8" t="s">
        <v>10</v>
      </c>
      <c r="F78" s="6" t="s">
        <v>40</v>
      </c>
      <c r="G78" s="9">
        <v>45107</v>
      </c>
      <c r="H78" s="9">
        <v>41590</v>
      </c>
      <c r="K78" s="3">
        <f>COUNTIF($B$4:$B$154,B79)</f>
        <v>1</v>
      </c>
      <c r="L78" s="3">
        <f>COUNTIF($E$4:$E$154,E79)</f>
        <v>1</v>
      </c>
      <c r="Q78" s="5"/>
    </row>
    <row r="79" spans="2:17" ht="21.95" customHeight="1" x14ac:dyDescent="0.3">
      <c r="B79" s="6">
        <f t="shared" si="2"/>
        <v>76</v>
      </c>
      <c r="C79" s="16" t="s">
        <v>52</v>
      </c>
      <c r="D79" s="7" t="s">
        <v>92</v>
      </c>
      <c r="E79" s="8" t="s">
        <v>23</v>
      </c>
      <c r="F79" s="6" t="s">
        <v>53</v>
      </c>
      <c r="G79" s="9">
        <v>45338</v>
      </c>
      <c r="H79" s="9">
        <v>36442</v>
      </c>
      <c r="K79" s="3">
        <f>COUNTIF($B$4:$B$154,B80)</f>
        <v>1</v>
      </c>
      <c r="L79" s="3">
        <f>COUNTIF($E$4:$E$154,E80)</f>
        <v>1</v>
      </c>
      <c r="Q79" s="5"/>
    </row>
    <row r="80" spans="2:17" ht="21.95" customHeight="1" x14ac:dyDescent="0.3">
      <c r="B80" s="6">
        <f t="shared" si="2"/>
        <v>77</v>
      </c>
      <c r="C80" s="17"/>
      <c r="D80" s="11" t="s">
        <v>99</v>
      </c>
      <c r="E80" s="12" t="s">
        <v>0</v>
      </c>
      <c r="F80" s="13" t="s">
        <v>40</v>
      </c>
      <c r="G80" s="15">
        <v>46073</v>
      </c>
      <c r="H80" s="14">
        <v>36442</v>
      </c>
      <c r="K80" s="3">
        <f>COUNTIF($B$4:$B$154,B81)</f>
        <v>1</v>
      </c>
      <c r="L80" s="3">
        <f>COUNTIF($E$4:$E$154,E81)</f>
        <v>1</v>
      </c>
      <c r="Q80" s="5"/>
    </row>
    <row r="81" spans="2:17" ht="21.95" customHeight="1" x14ac:dyDescent="0.3">
      <c r="B81" s="6">
        <f t="shared" si="2"/>
        <v>78</v>
      </c>
      <c r="C81" s="17"/>
      <c r="D81" s="7" t="s">
        <v>100</v>
      </c>
      <c r="E81" s="8" t="s">
        <v>30</v>
      </c>
      <c r="F81" s="6" t="s">
        <v>53</v>
      </c>
      <c r="G81" s="9">
        <v>45147</v>
      </c>
      <c r="H81" s="9">
        <v>41442</v>
      </c>
      <c r="K81" s="3">
        <f>COUNTIF($B$4:$B$154,B82)</f>
        <v>1</v>
      </c>
      <c r="L81" s="3">
        <f>COUNTIF($E$4:$E$154,E82)</f>
        <v>1</v>
      </c>
      <c r="Q81" s="5"/>
    </row>
    <row r="82" spans="2:17" ht="21.95" customHeight="1" x14ac:dyDescent="0.3">
      <c r="B82" s="6">
        <f t="shared" si="2"/>
        <v>79</v>
      </c>
      <c r="C82" s="17"/>
      <c r="D82" s="7" t="s">
        <v>101</v>
      </c>
      <c r="E82" s="8" t="s">
        <v>28</v>
      </c>
      <c r="F82" s="6" t="s">
        <v>53</v>
      </c>
      <c r="G82" s="9">
        <v>45147</v>
      </c>
      <c r="H82" s="9">
        <v>39864</v>
      </c>
      <c r="K82" s="3">
        <f>COUNTIF($B$4:$B$154,B83)</f>
        <v>1</v>
      </c>
      <c r="L82" s="3">
        <f>COUNTIF($E$4:$E$154,E83)</f>
        <v>1</v>
      </c>
      <c r="Q82" s="5"/>
    </row>
    <row r="83" spans="2:17" ht="21.95" customHeight="1" x14ac:dyDescent="0.3">
      <c r="B83" s="6">
        <f t="shared" si="2"/>
        <v>80</v>
      </c>
      <c r="C83" s="17"/>
      <c r="D83" s="7" t="s">
        <v>102</v>
      </c>
      <c r="E83" s="8" t="s">
        <v>6</v>
      </c>
      <c r="F83" s="6" t="s">
        <v>40</v>
      </c>
      <c r="G83" s="9">
        <v>43819</v>
      </c>
      <c r="H83" s="9">
        <v>38705</v>
      </c>
      <c r="K83" s="3">
        <f>COUNTIF($B$4:$B$154,B84)</f>
        <v>1</v>
      </c>
      <c r="L83" s="3">
        <f>COUNTIF($E$4:$E$154,E84)</f>
        <v>1</v>
      </c>
      <c r="Q83" s="5"/>
    </row>
    <row r="84" spans="2:17" ht="21.95" customHeight="1" x14ac:dyDescent="0.3">
      <c r="B84" s="6">
        <f t="shared" si="2"/>
        <v>81</v>
      </c>
      <c r="C84" s="17"/>
      <c r="D84" s="7" t="s">
        <v>103</v>
      </c>
      <c r="E84" s="8" t="s">
        <v>21</v>
      </c>
      <c r="F84" s="6" t="s">
        <v>40</v>
      </c>
      <c r="G84" s="9">
        <v>42206</v>
      </c>
      <c r="H84" s="9">
        <v>42206</v>
      </c>
      <c r="K84" s="3">
        <f>COUNTIF($B$4:$B$154,B85)</f>
        <v>1</v>
      </c>
      <c r="L84" s="3">
        <f>COUNTIF($E$4:$E$154,E85)</f>
        <v>1</v>
      </c>
      <c r="Q84" s="5"/>
    </row>
    <row r="85" spans="2:17" ht="21.95" customHeight="1" x14ac:dyDescent="0.3">
      <c r="B85" s="6">
        <f t="shared" si="2"/>
        <v>82</v>
      </c>
      <c r="C85" s="17"/>
      <c r="D85" s="7" t="s">
        <v>104</v>
      </c>
      <c r="E85" s="8" t="s">
        <v>187</v>
      </c>
      <c r="F85" s="6" t="s">
        <v>53</v>
      </c>
      <c r="G85" s="9">
        <v>45104</v>
      </c>
      <c r="H85" s="9">
        <v>36689</v>
      </c>
      <c r="K85" s="3">
        <f>COUNTIF($B$4:$B$154,B86)</f>
        <v>1</v>
      </c>
      <c r="L85" s="3">
        <f>COUNTIF($E$4:$E$154,E86)</f>
        <v>1</v>
      </c>
      <c r="Q85" s="5"/>
    </row>
    <row r="86" spans="2:17" ht="21.95" customHeight="1" x14ac:dyDescent="0.3">
      <c r="B86" s="6">
        <f t="shared" si="2"/>
        <v>83</v>
      </c>
      <c r="C86" s="17"/>
      <c r="D86" s="7" t="s">
        <v>105</v>
      </c>
      <c r="E86" s="8" t="s">
        <v>25</v>
      </c>
      <c r="F86" s="6" t="s">
        <v>53</v>
      </c>
      <c r="G86" s="9">
        <v>45666</v>
      </c>
      <c r="H86" s="9">
        <v>36442</v>
      </c>
      <c r="K86" s="3">
        <f>COUNTIF($B$4:$B$154,B87)</f>
        <v>1</v>
      </c>
      <c r="L86" s="3">
        <f>COUNTIF($E$4:$E$154,E87)</f>
        <v>1</v>
      </c>
      <c r="Q86" s="5"/>
    </row>
    <row r="87" spans="2:17" ht="21.95" customHeight="1" x14ac:dyDescent="0.3">
      <c r="B87" s="6">
        <f t="shared" si="2"/>
        <v>84</v>
      </c>
      <c r="C87" s="17"/>
      <c r="D87" s="7" t="s">
        <v>106</v>
      </c>
      <c r="E87" s="8" t="s">
        <v>24</v>
      </c>
      <c r="F87" s="6" t="s">
        <v>53</v>
      </c>
      <c r="G87" s="9">
        <v>45147</v>
      </c>
      <c r="H87" s="9">
        <v>36689</v>
      </c>
      <c r="K87" s="3">
        <f>COUNTIF($B$4:$B$154,B88)</f>
        <v>1</v>
      </c>
      <c r="L87" s="3">
        <f>COUNTIF($E$4:$E$154,E88)</f>
        <v>1</v>
      </c>
      <c r="Q87" s="5"/>
    </row>
    <row r="88" spans="2:17" ht="21.95" customHeight="1" x14ac:dyDescent="0.3">
      <c r="B88" s="6">
        <f t="shared" si="2"/>
        <v>85</v>
      </c>
      <c r="C88" s="17"/>
      <c r="D88" s="7" t="s">
        <v>93</v>
      </c>
      <c r="E88" s="8" t="s">
        <v>188</v>
      </c>
      <c r="F88" s="6" t="s">
        <v>53</v>
      </c>
      <c r="G88" s="9">
        <v>45104</v>
      </c>
      <c r="H88" s="9">
        <v>38624</v>
      </c>
      <c r="K88" s="3">
        <f>COUNTIF($B$4:$B$154,B89)</f>
        <v>1</v>
      </c>
      <c r="L88" s="3">
        <f>COUNTIF($E$4:$E$154,E89)</f>
        <v>1</v>
      </c>
      <c r="Q88" s="5"/>
    </row>
    <row r="89" spans="2:17" ht="21.95" customHeight="1" x14ac:dyDescent="0.3">
      <c r="B89" s="6">
        <f t="shared" si="2"/>
        <v>86</v>
      </c>
      <c r="C89" s="17"/>
      <c r="D89" s="7" t="s">
        <v>94</v>
      </c>
      <c r="E89" s="8" t="s">
        <v>27</v>
      </c>
      <c r="F89" s="6" t="s">
        <v>53</v>
      </c>
      <c r="G89" s="9">
        <v>45818</v>
      </c>
      <c r="H89" s="9">
        <v>38811</v>
      </c>
      <c r="K89" s="3">
        <f>COUNTIF($B$4:$B$154,B90)</f>
        <v>1</v>
      </c>
      <c r="L89" s="3">
        <f>COUNTIF($E$4:$E$154,E90)</f>
        <v>1</v>
      </c>
      <c r="Q89" s="5"/>
    </row>
    <row r="90" spans="2:17" ht="21.95" customHeight="1" x14ac:dyDescent="0.3">
      <c r="B90" s="6">
        <f t="shared" si="2"/>
        <v>87</v>
      </c>
      <c r="C90" s="17"/>
      <c r="D90" s="7" t="s">
        <v>95</v>
      </c>
      <c r="E90" s="8" t="s">
        <v>189</v>
      </c>
      <c r="F90" s="6" t="s">
        <v>53</v>
      </c>
      <c r="G90" s="9">
        <v>45588</v>
      </c>
      <c r="H90" s="9">
        <v>40263</v>
      </c>
      <c r="K90" s="3">
        <f>COUNTIF($B$4:$B$154,B91)</f>
        <v>1</v>
      </c>
      <c r="L90" s="3">
        <f>COUNTIF($E$4:$E$154,E91)</f>
        <v>1</v>
      </c>
      <c r="Q90" s="5"/>
    </row>
    <row r="91" spans="2:17" ht="21.95" customHeight="1" x14ac:dyDescent="0.3">
      <c r="B91" s="6">
        <f t="shared" si="2"/>
        <v>88</v>
      </c>
      <c r="C91" s="17"/>
      <c r="D91" s="7" t="s">
        <v>96</v>
      </c>
      <c r="E91" s="8" t="s">
        <v>26</v>
      </c>
      <c r="F91" s="6" t="s">
        <v>53</v>
      </c>
      <c r="G91" s="9">
        <v>43819</v>
      </c>
      <c r="H91" s="9">
        <v>38244</v>
      </c>
      <c r="K91" s="3">
        <f>COUNTIF($B$4:$B$154,B92)</f>
        <v>1</v>
      </c>
      <c r="L91" s="3">
        <f>COUNTIF($E$4:$E$154,E92)</f>
        <v>1</v>
      </c>
      <c r="Q91" s="5"/>
    </row>
    <row r="92" spans="2:17" ht="21.95" customHeight="1" x14ac:dyDescent="0.3">
      <c r="B92" s="6">
        <f t="shared" si="2"/>
        <v>89</v>
      </c>
      <c r="C92" s="17"/>
      <c r="D92" s="7" t="s">
        <v>97</v>
      </c>
      <c r="E92" s="8" t="s">
        <v>86</v>
      </c>
      <c r="F92" s="6" t="s">
        <v>40</v>
      </c>
      <c r="G92" s="9">
        <v>37958</v>
      </c>
      <c r="H92" s="9">
        <v>37958</v>
      </c>
      <c r="K92" s="3">
        <f>COUNTIF($B$4:$B$154,B93)</f>
        <v>1</v>
      </c>
      <c r="L92" s="3">
        <f>COUNTIF($E$4:$E$154,E93)</f>
        <v>1</v>
      </c>
      <c r="Q92" s="5"/>
    </row>
    <row r="93" spans="2:17" ht="21.95" customHeight="1" x14ac:dyDescent="0.3">
      <c r="B93" s="6">
        <f t="shared" si="2"/>
        <v>90</v>
      </c>
      <c r="C93" s="17"/>
      <c r="D93" s="7" t="s">
        <v>98</v>
      </c>
      <c r="E93" s="8" t="s">
        <v>29</v>
      </c>
      <c r="F93" s="6" t="s">
        <v>53</v>
      </c>
      <c r="G93" s="9">
        <v>43460</v>
      </c>
      <c r="H93" s="9">
        <v>40633</v>
      </c>
      <c r="K93" s="3">
        <f>COUNTIF($B$4:$B$154,B94)</f>
        <v>1</v>
      </c>
      <c r="L93" s="3">
        <f>COUNTIF($E$4:$E$154,E94)</f>
        <v>1</v>
      </c>
      <c r="Q93" s="5"/>
    </row>
    <row r="94" spans="2:17" ht="21.95" customHeight="1" x14ac:dyDescent="0.3">
      <c r="B94" s="6">
        <f t="shared" si="2"/>
        <v>91</v>
      </c>
      <c r="C94" s="17"/>
      <c r="D94" s="7" t="s">
        <v>168</v>
      </c>
      <c r="E94" s="8" t="s">
        <v>190</v>
      </c>
      <c r="F94" s="6" t="s">
        <v>191</v>
      </c>
      <c r="G94" s="9">
        <v>45756</v>
      </c>
      <c r="H94" s="9">
        <v>45579</v>
      </c>
      <c r="K94" s="3">
        <f>COUNTIF($B$4:$B$154,B95)</f>
        <v>1</v>
      </c>
      <c r="L94" s="3">
        <f>COUNTIF($E$4:$E$154,E95)</f>
        <v>1</v>
      </c>
      <c r="Q94" s="5"/>
    </row>
    <row r="95" spans="2:17" ht="17.25" x14ac:dyDescent="0.3">
      <c r="B95" s="6">
        <f t="shared" si="2"/>
        <v>92</v>
      </c>
      <c r="C95" s="18"/>
      <c r="D95" s="7" t="s">
        <v>195</v>
      </c>
      <c r="E95" s="8" t="s">
        <v>196</v>
      </c>
      <c r="F95" s="6" t="s">
        <v>191</v>
      </c>
      <c r="G95" s="9">
        <v>45859</v>
      </c>
      <c r="H95" s="9">
        <v>45859</v>
      </c>
    </row>
  </sheetData>
  <mergeCells count="13">
    <mergeCell ref="B1:H1"/>
    <mergeCell ref="B2:H2"/>
    <mergeCell ref="C4:C5"/>
    <mergeCell ref="C6:C9"/>
    <mergeCell ref="C18:C25"/>
    <mergeCell ref="C10:C17"/>
    <mergeCell ref="C79:C95"/>
    <mergeCell ref="C26:C31"/>
    <mergeCell ref="C32:C47"/>
    <mergeCell ref="C48:C54"/>
    <mergeCell ref="C68:C75"/>
    <mergeCell ref="C76:C78"/>
    <mergeCell ref="C55:C67"/>
  </mergeCells>
  <phoneticPr fontId="1" type="noConversion"/>
  <printOptions horizontalCentered="1"/>
  <pageMargins left="0" right="0" top="0.78740157480314965" bottom="0" header="0" footer="0"/>
  <pageSetup paperSize="9" scale="64" fitToHeight="0" orientation="portrait" r:id="rId1"/>
  <headerFooter>
    <oddFooter>&amp;C&amp;P/&amp;N</oddFooter>
  </headerFooter>
  <rowBreaks count="1" manualBreakCount="1">
    <brk id="47" min="1" max="7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344C18-53E7-487B-89B6-9FFAE5B03A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사규 목차</vt:lpstr>
      <vt:lpstr>'사규 목차'!Print_Area</vt:lpstr>
      <vt:lpstr>'사규 목차'!Print_Titles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박현민</dc:creator>
  <cp:lastModifiedBy>박현민</cp:lastModifiedBy>
  <cp:lastPrinted>2026-01-14T06:26:08Z</cp:lastPrinted>
  <dcterms:created xsi:type="dcterms:W3CDTF">2024-04-15T01:08:27Z</dcterms:created>
  <dcterms:modified xsi:type="dcterms:W3CDTF">2026-02-20T05:20:07Z</dcterms:modified>
</cp:coreProperties>
</file>